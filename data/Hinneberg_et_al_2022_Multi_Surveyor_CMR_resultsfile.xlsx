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Auswertungen\Hibernacula-Suchtest\Publikation\EcologyEvoultion_2ndRevision\Data_submission_Dryad\"/>
    </mc:Choice>
  </mc:AlternateContent>
  <bookViews>
    <workbookView xWindow="0" yWindow="0" windowWidth="28800" windowHeight="1140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J2" i="1"/>
  <c r="I3" i="1"/>
  <c r="J3" i="1"/>
  <c r="I4" i="1"/>
  <c r="J4" i="1"/>
  <c r="I5" i="1"/>
  <c r="J5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I47" i="1"/>
  <c r="J47" i="1"/>
  <c r="I48" i="1"/>
  <c r="J48" i="1"/>
  <c r="I49" i="1"/>
  <c r="J49" i="1"/>
  <c r="I50" i="1"/>
  <c r="J50" i="1"/>
  <c r="I51" i="1"/>
  <c r="J51" i="1"/>
  <c r="I52" i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I70" i="1"/>
  <c r="J70" i="1"/>
  <c r="I71" i="1"/>
  <c r="J71" i="1"/>
  <c r="I72" i="1"/>
  <c r="J72" i="1"/>
  <c r="I73" i="1"/>
  <c r="J73" i="1"/>
  <c r="I74" i="1"/>
  <c r="J74" i="1"/>
  <c r="I75" i="1"/>
  <c r="J75" i="1"/>
  <c r="I76" i="1"/>
  <c r="J76" i="1"/>
  <c r="I77" i="1"/>
  <c r="J77" i="1"/>
  <c r="I78" i="1"/>
  <c r="J78" i="1"/>
  <c r="I79" i="1"/>
  <c r="J79" i="1"/>
  <c r="I80" i="1"/>
  <c r="J80" i="1"/>
  <c r="I81" i="1"/>
  <c r="J81" i="1"/>
  <c r="I82" i="1"/>
  <c r="J82" i="1"/>
  <c r="I83" i="1"/>
  <c r="J83" i="1"/>
  <c r="I84" i="1"/>
  <c r="J84" i="1"/>
  <c r="I85" i="1"/>
  <c r="J85" i="1"/>
  <c r="I86" i="1"/>
  <c r="J86" i="1"/>
  <c r="I87" i="1"/>
  <c r="J87" i="1"/>
  <c r="I88" i="1"/>
  <c r="J88" i="1"/>
  <c r="I89" i="1"/>
  <c r="J89" i="1"/>
  <c r="I90" i="1"/>
  <c r="J90" i="1"/>
  <c r="I91" i="1"/>
  <c r="J91" i="1"/>
  <c r="I92" i="1"/>
  <c r="J92" i="1"/>
  <c r="I93" i="1"/>
  <c r="J93" i="1"/>
  <c r="I94" i="1"/>
  <c r="J94" i="1"/>
  <c r="I95" i="1"/>
  <c r="J95" i="1"/>
  <c r="I96" i="1"/>
  <c r="J96" i="1"/>
  <c r="I97" i="1"/>
  <c r="J97" i="1"/>
  <c r="I98" i="1"/>
  <c r="J98" i="1"/>
  <c r="I99" i="1"/>
  <c r="J99" i="1"/>
  <c r="I100" i="1"/>
  <c r="J100" i="1"/>
  <c r="I101" i="1"/>
  <c r="J101" i="1"/>
  <c r="I102" i="1"/>
  <c r="J102" i="1"/>
  <c r="I103" i="1"/>
  <c r="J103" i="1"/>
  <c r="I104" i="1"/>
  <c r="J104" i="1"/>
  <c r="I105" i="1"/>
  <c r="J105" i="1"/>
  <c r="I106" i="1"/>
  <c r="J106" i="1"/>
  <c r="I107" i="1"/>
  <c r="J107" i="1"/>
  <c r="I108" i="1"/>
  <c r="J108" i="1"/>
  <c r="I109" i="1"/>
  <c r="J109" i="1"/>
  <c r="I110" i="1"/>
  <c r="J110" i="1"/>
  <c r="I111" i="1"/>
  <c r="J111" i="1"/>
  <c r="I112" i="1"/>
  <c r="J112" i="1"/>
  <c r="I113" i="1"/>
  <c r="J113" i="1"/>
  <c r="I114" i="1"/>
  <c r="J114" i="1"/>
  <c r="I115" i="1"/>
  <c r="J115" i="1"/>
  <c r="I116" i="1"/>
  <c r="J116" i="1"/>
  <c r="I117" i="1"/>
  <c r="J117" i="1"/>
  <c r="I118" i="1"/>
  <c r="J118" i="1"/>
  <c r="I119" i="1"/>
  <c r="J119" i="1"/>
  <c r="I120" i="1"/>
  <c r="J120" i="1"/>
  <c r="I121" i="1"/>
  <c r="J121" i="1"/>
  <c r="I122" i="1"/>
  <c r="J122" i="1"/>
  <c r="I123" i="1"/>
  <c r="J123" i="1"/>
  <c r="I124" i="1"/>
  <c r="J124" i="1"/>
  <c r="I125" i="1"/>
  <c r="J125" i="1"/>
  <c r="I126" i="1"/>
  <c r="J126" i="1"/>
  <c r="I127" i="1"/>
  <c r="J127" i="1"/>
  <c r="I128" i="1"/>
  <c r="J128" i="1"/>
  <c r="I129" i="1"/>
  <c r="J129" i="1"/>
  <c r="I130" i="1"/>
  <c r="J130" i="1"/>
  <c r="I131" i="1"/>
  <c r="J131" i="1"/>
  <c r="I132" i="1"/>
  <c r="J132" i="1"/>
  <c r="I133" i="1"/>
  <c r="J133" i="1"/>
  <c r="I134" i="1"/>
  <c r="J134" i="1"/>
  <c r="I135" i="1"/>
  <c r="J135" i="1"/>
  <c r="I136" i="1"/>
  <c r="J136" i="1"/>
  <c r="I137" i="1"/>
  <c r="J137" i="1"/>
  <c r="I138" i="1"/>
  <c r="J138" i="1"/>
  <c r="I139" i="1"/>
  <c r="J139" i="1"/>
  <c r="I140" i="1"/>
  <c r="J140" i="1"/>
  <c r="I141" i="1"/>
  <c r="J141" i="1"/>
  <c r="I142" i="1"/>
  <c r="J142" i="1"/>
  <c r="I143" i="1"/>
  <c r="J143" i="1"/>
  <c r="I144" i="1"/>
  <c r="J144" i="1"/>
  <c r="I145" i="1"/>
  <c r="J145" i="1"/>
  <c r="I146" i="1"/>
  <c r="J146" i="1"/>
  <c r="I147" i="1"/>
  <c r="J147" i="1"/>
  <c r="I148" i="1"/>
  <c r="J148" i="1"/>
  <c r="I149" i="1"/>
  <c r="J149" i="1"/>
  <c r="I150" i="1"/>
  <c r="J150" i="1"/>
  <c r="I151" i="1"/>
  <c r="J151" i="1"/>
  <c r="I152" i="1"/>
  <c r="J152" i="1"/>
  <c r="I153" i="1"/>
  <c r="J153" i="1"/>
  <c r="I154" i="1"/>
  <c r="J154" i="1"/>
  <c r="I155" i="1"/>
  <c r="J155" i="1"/>
  <c r="I156" i="1"/>
  <c r="J156" i="1"/>
  <c r="I157" i="1"/>
  <c r="J157" i="1"/>
  <c r="I158" i="1"/>
  <c r="J158" i="1"/>
  <c r="I159" i="1"/>
  <c r="J159" i="1"/>
  <c r="I160" i="1"/>
  <c r="J160" i="1"/>
  <c r="I161" i="1"/>
  <c r="J161" i="1"/>
  <c r="I162" i="1"/>
  <c r="J162" i="1"/>
  <c r="I163" i="1"/>
  <c r="J163" i="1"/>
  <c r="I164" i="1"/>
  <c r="J164" i="1"/>
  <c r="I165" i="1"/>
  <c r="J165" i="1"/>
  <c r="I166" i="1"/>
  <c r="J166" i="1"/>
  <c r="I167" i="1"/>
  <c r="J167" i="1"/>
  <c r="I168" i="1"/>
  <c r="J168" i="1"/>
  <c r="I169" i="1"/>
  <c r="J169" i="1"/>
  <c r="I170" i="1"/>
  <c r="J170" i="1"/>
  <c r="I171" i="1"/>
  <c r="J171" i="1"/>
  <c r="I172" i="1"/>
  <c r="J172" i="1"/>
  <c r="I173" i="1"/>
  <c r="J173" i="1"/>
  <c r="I174" i="1"/>
  <c r="J174" i="1"/>
  <c r="I175" i="1"/>
  <c r="J175" i="1"/>
</calcChain>
</file>

<file path=xl/sharedStrings.xml><?xml version="1.0" encoding="utf-8"?>
<sst xmlns="http://schemas.openxmlformats.org/spreadsheetml/2006/main" count="793" uniqueCount="88">
  <si>
    <t>CMR6</t>
  </si>
  <si>
    <t>yes</t>
  </si>
  <si>
    <t>1-2-3-4-5-6</t>
  </si>
  <si>
    <t>B</t>
  </si>
  <si>
    <t>A</t>
  </si>
  <si>
    <t>CMR5</t>
  </si>
  <si>
    <t>1-2-3-4-5</t>
  </si>
  <si>
    <t>C</t>
  </si>
  <si>
    <t>2-3-4-5-6</t>
  </si>
  <si>
    <t>1-3-4-5-6</t>
  </si>
  <si>
    <t>1-2-4-5-6</t>
  </si>
  <si>
    <t>1-2-3-5-6</t>
  </si>
  <si>
    <t>1-2-3-4-6</t>
  </si>
  <si>
    <t>CMR4</t>
  </si>
  <si>
    <t>2-3-4-5</t>
  </si>
  <si>
    <t>1-3-4-5</t>
  </si>
  <si>
    <t>1-2-4-5</t>
  </si>
  <si>
    <t>1-2-3-5</t>
  </si>
  <si>
    <t>1-2-3-4</t>
  </si>
  <si>
    <t>3-4-5-6</t>
  </si>
  <si>
    <t>2-4-5-6</t>
  </si>
  <si>
    <t>2-3-5-6</t>
  </si>
  <si>
    <t>2-3-4-6</t>
  </si>
  <si>
    <t>1-4-5-6</t>
  </si>
  <si>
    <t>1-3-5-6</t>
  </si>
  <si>
    <t>1-3-4-6</t>
  </si>
  <si>
    <t>1-2-5-6</t>
  </si>
  <si>
    <t>1-2-4-6</t>
  </si>
  <si>
    <t>1-2-3-6</t>
  </si>
  <si>
    <t>CMR3</t>
  </si>
  <si>
    <t>3-4-5</t>
  </si>
  <si>
    <t>2-4-5</t>
  </si>
  <si>
    <t>2-3-5</t>
  </si>
  <si>
    <t>2-3-4</t>
  </si>
  <si>
    <t>1-4-5</t>
  </si>
  <si>
    <t>1-3-5</t>
  </si>
  <si>
    <t>1-3-4</t>
  </si>
  <si>
    <t>1-2-5</t>
  </si>
  <si>
    <t>1-2-4</t>
  </si>
  <si>
    <t>1-2-3</t>
  </si>
  <si>
    <t>4-5-6</t>
  </si>
  <si>
    <t>3-5-6</t>
  </si>
  <si>
    <t>no</t>
  </si>
  <si>
    <t>3-4-6</t>
  </si>
  <si>
    <t>2-5-6</t>
  </si>
  <si>
    <t>2-4-6</t>
  </si>
  <si>
    <t>2-3-6</t>
  </si>
  <si>
    <t>1-5-6</t>
  </si>
  <si>
    <t>1-4-6</t>
  </si>
  <si>
    <t>1-3-6</t>
  </si>
  <si>
    <t>1-2-6</t>
  </si>
  <si>
    <t>CMR2</t>
  </si>
  <si>
    <t>4-5</t>
  </si>
  <si>
    <t>3-5</t>
  </si>
  <si>
    <t>3-4</t>
  </si>
  <si>
    <t>2-5</t>
  </si>
  <si>
    <t>2-4</t>
  </si>
  <si>
    <t>2-3</t>
  </si>
  <si>
    <t>1-5</t>
  </si>
  <si>
    <t>1-4</t>
  </si>
  <si>
    <t>1-3</t>
  </si>
  <si>
    <t>1-2</t>
  </si>
  <si>
    <t>5-6</t>
  </si>
  <si>
    <t>4-6</t>
  </si>
  <si>
    <t>3-6</t>
  </si>
  <si>
    <t>2-6</t>
  </si>
  <si>
    <t>1-6</t>
  </si>
  <si>
    <t>group-specific</t>
  </si>
  <si>
    <t>NA</t>
  </si>
  <si>
    <t>5</t>
  </si>
  <si>
    <t>4</t>
  </si>
  <si>
    <t>3</t>
  </si>
  <si>
    <t>2</t>
  </si>
  <si>
    <t>1</t>
  </si>
  <si>
    <t>6</t>
  </si>
  <si>
    <t>surveyor-specific</t>
  </si>
  <si>
    <t>method</t>
  </si>
  <si>
    <t>rel_CIwidth</t>
  </si>
  <si>
    <t>rel_error</t>
  </si>
  <si>
    <t xml:space="preserve"> full_effort_estimate</t>
  </si>
  <si>
    <t>Code</t>
  </si>
  <si>
    <t>ucl</t>
  </si>
  <si>
    <t>lcl</t>
  </si>
  <si>
    <t>se</t>
  </si>
  <si>
    <t>estimate</t>
  </si>
  <si>
    <t>plot</t>
  </si>
  <si>
    <t>surveyor</t>
  </si>
  <si>
    <t>validEST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</si>
</sst>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/>
    <xf numFmtId="2" fontId="0" fillId="0" borderId="0" xfId="0" applyNumberFormat="1" applyFill="1"/>
    <xf numFmtId="164" fontId="0" fillId="0" borderId="0" xfId="0" applyNumberFormat="1" applyFill="1"/>
    <xf numFmtId="49" fontId="0" fillId="0" borderId="0" xfId="0" applyNumberFormat="1" applyFill="1"/>
    <xf numFmtId="0" fontId="1" fillId="0" borderId="0" xfId="0" applyFont="1" applyFill="1"/>
    <xf numFmtId="2" fontId="1" fillId="0" borderId="0" xfId="0" applyNumberFormat="1" applyFont="1" applyFill="1"/>
    <xf numFmtId="164" fontId="1" fillId="0" borderId="0" xfId="0" applyNumberFormat="1" applyFont="1" applyFill="1"/>
    <xf numFmtId="49" fontId="1" fillId="0" borderId="0" xfId="0" applyNumberFormat="1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5"/>
  <sheetViews>
    <sheetView tabSelected="1" workbookViewId="0">
      <selection activeCell="N2" sqref="N2"/>
    </sheetView>
  </sheetViews>
  <sheetFormatPr baseColWidth="10" defaultRowHeight="15" x14ac:dyDescent="0.25"/>
  <cols>
    <col min="9" max="9" width="11.42578125" customWidth="1"/>
  </cols>
  <sheetData>
    <row r="1" spans="1:12" x14ac:dyDescent="0.25">
      <c r="A1" s="5" t="s">
        <v>86</v>
      </c>
      <c r="B1" s="5" t="s">
        <v>85</v>
      </c>
      <c r="C1" s="7" t="s">
        <v>84</v>
      </c>
      <c r="D1" s="7" t="s">
        <v>83</v>
      </c>
      <c r="E1" s="7" t="s">
        <v>82</v>
      </c>
      <c r="F1" s="7" t="s">
        <v>81</v>
      </c>
      <c r="G1" s="8" t="s">
        <v>80</v>
      </c>
      <c r="H1" s="7" t="s">
        <v>79</v>
      </c>
      <c r="I1" s="6" t="s">
        <v>78</v>
      </c>
      <c r="J1" s="6" t="s">
        <v>77</v>
      </c>
      <c r="K1" s="5" t="s">
        <v>87</v>
      </c>
      <c r="L1" s="5" t="s">
        <v>76</v>
      </c>
    </row>
    <row r="2" spans="1:12" x14ac:dyDescent="0.25">
      <c r="A2" s="1">
        <v>1</v>
      </c>
      <c r="B2" s="1" t="s">
        <v>4</v>
      </c>
      <c r="C2" s="3">
        <v>29.279970392093944</v>
      </c>
      <c r="D2" s="3" t="s">
        <v>68</v>
      </c>
      <c r="E2" s="3">
        <v>24.059035097961974</v>
      </c>
      <c r="F2" s="3">
        <v>37.50986509451986</v>
      </c>
      <c r="G2" s="4" t="s">
        <v>73</v>
      </c>
      <c r="H2" s="3">
        <v>32.20689052164596</v>
      </c>
      <c r="I2" s="2">
        <f>SQRT(((C2/H2)-1)^2)</f>
        <v>9.0878693414530698E-2</v>
      </c>
      <c r="J2" s="2">
        <f>(F2-E2)/C2</f>
        <v>0.45938673490564125</v>
      </c>
      <c r="K2" s="1" t="s">
        <v>68</v>
      </c>
      <c r="L2" s="1" t="s">
        <v>75</v>
      </c>
    </row>
    <row r="3" spans="1:12" x14ac:dyDescent="0.25">
      <c r="A3" s="1">
        <v>1</v>
      </c>
      <c r="B3" s="1" t="s">
        <v>4</v>
      </c>
      <c r="C3" s="3">
        <v>18.739183977248132</v>
      </c>
      <c r="D3" s="3" t="s">
        <v>68</v>
      </c>
      <c r="E3" s="3">
        <v>13.875562567339841</v>
      </c>
      <c r="F3" s="3">
        <v>26.606370718092641</v>
      </c>
      <c r="G3" s="4" t="s">
        <v>72</v>
      </c>
      <c r="H3" s="3">
        <v>32.20689052164596</v>
      </c>
      <c r="I3" s="2">
        <f>SQRT(((C3/H3)-1)^2)</f>
        <v>0.41816227292561214</v>
      </c>
      <c r="J3" s="2">
        <f>(F3-E3)/C3</f>
        <v>0.67936833141772335</v>
      </c>
      <c r="K3" s="1" t="s">
        <v>68</v>
      </c>
      <c r="L3" s="1" t="s">
        <v>75</v>
      </c>
    </row>
    <row r="4" spans="1:12" x14ac:dyDescent="0.25">
      <c r="A4" s="1">
        <v>1</v>
      </c>
      <c r="B4" s="1" t="s">
        <v>4</v>
      </c>
      <c r="C4" s="3">
        <v>30.030742471067633</v>
      </c>
      <c r="D4" s="3" t="s">
        <v>68</v>
      </c>
      <c r="E4" s="3">
        <v>22.439289940084851</v>
      </c>
      <c r="F4" s="3">
        <v>42.255104205312477</v>
      </c>
      <c r="G4" s="4" t="s">
        <v>71</v>
      </c>
      <c r="H4" s="3">
        <v>32.20689052164596</v>
      </c>
      <c r="I4" s="2">
        <f>SQRT(((C4/H4)-1)^2)</f>
        <v>6.7567778675055812E-2</v>
      </c>
      <c r="J4" s="2">
        <f>(F4-E4)/C4</f>
        <v>0.65985096053881043</v>
      </c>
      <c r="K4" s="1" t="s">
        <v>68</v>
      </c>
      <c r="L4" s="1" t="s">
        <v>75</v>
      </c>
    </row>
    <row r="5" spans="1:12" x14ac:dyDescent="0.25">
      <c r="A5" s="1">
        <v>1</v>
      </c>
      <c r="B5" s="1" t="s">
        <v>4</v>
      </c>
      <c r="C5" s="3">
        <v>29.616522573309645</v>
      </c>
      <c r="D5" s="3" t="s">
        <v>68</v>
      </c>
      <c r="E5" s="3">
        <v>22.685529478195697</v>
      </c>
      <c r="F5" s="3">
        <v>40.658475092802966</v>
      </c>
      <c r="G5" s="4" t="s">
        <v>70</v>
      </c>
      <c r="H5" s="3">
        <v>32.20689052164596</v>
      </c>
      <c r="I5" s="2">
        <f>SQRT(((C5/H5)-1)^2)</f>
        <v>8.0428998465261747E-2</v>
      </c>
      <c r="J5" s="2">
        <f>(F5-E5)/C5</f>
        <v>0.60685536494431169</v>
      </c>
      <c r="K5" s="1" t="s">
        <v>68</v>
      </c>
      <c r="L5" s="1" t="s">
        <v>75</v>
      </c>
    </row>
    <row r="6" spans="1:12" x14ac:dyDescent="0.25">
      <c r="A6" s="1">
        <v>1</v>
      </c>
      <c r="B6" s="1" t="s">
        <v>4</v>
      </c>
      <c r="C6" s="3">
        <v>22.308548040714587</v>
      </c>
      <c r="D6" s="3" t="s">
        <v>68</v>
      </c>
      <c r="E6" s="3">
        <v>15.84478449112494</v>
      </c>
      <c r="F6" s="3">
        <v>33.016212611202732</v>
      </c>
      <c r="G6" s="4" t="s">
        <v>69</v>
      </c>
      <c r="H6" s="3">
        <v>32.20689052164596</v>
      </c>
      <c r="I6" s="2">
        <f>SQRT(((C6/H6)-1)^2)</f>
        <v>0.30733617311732675</v>
      </c>
      <c r="J6" s="2">
        <f>(F6-E6)/C6</f>
        <v>0.76972414738685779</v>
      </c>
      <c r="K6" s="1" t="s">
        <v>68</v>
      </c>
      <c r="L6" s="1" t="s">
        <v>75</v>
      </c>
    </row>
    <row r="7" spans="1:12" x14ac:dyDescent="0.25">
      <c r="A7" s="1">
        <v>1</v>
      </c>
      <c r="B7" s="1" t="s">
        <v>4</v>
      </c>
      <c r="C7" s="3">
        <v>40.047082019427506</v>
      </c>
      <c r="D7" s="3" t="s">
        <v>68</v>
      </c>
      <c r="E7" s="3">
        <v>27.22403337666492</v>
      </c>
      <c r="F7" s="3">
        <v>63.670847188374971</v>
      </c>
      <c r="G7" s="4" t="s">
        <v>74</v>
      </c>
      <c r="H7" s="3">
        <v>32.20689052164596</v>
      </c>
      <c r="I7" s="2">
        <f>SQRT(((C7/H7)-1)^2)</f>
        <v>0.2434321156372492</v>
      </c>
      <c r="J7" s="2">
        <f>(F7-E7)/C7</f>
        <v>0.91009911269013544</v>
      </c>
      <c r="K7" s="1" t="s">
        <v>68</v>
      </c>
      <c r="L7" s="1" t="s">
        <v>75</v>
      </c>
    </row>
    <row r="8" spans="1:12" x14ac:dyDescent="0.25">
      <c r="A8" s="1">
        <v>1</v>
      </c>
      <c r="B8" s="1" t="s">
        <v>3</v>
      </c>
      <c r="C8" s="3">
        <v>19.519980261395961</v>
      </c>
      <c r="D8" s="3" t="s">
        <v>68</v>
      </c>
      <c r="E8" s="3">
        <v>16.03935673197465</v>
      </c>
      <c r="F8" s="3">
        <v>25.006576729679907</v>
      </c>
      <c r="G8" s="4" t="s">
        <v>73</v>
      </c>
      <c r="H8" s="3">
        <v>17.851960094630378</v>
      </c>
      <c r="I8" s="2">
        <f>SQRT(((C8/H8)-1)^2)</f>
        <v>9.3436247780281478E-2</v>
      </c>
      <c r="J8" s="2">
        <f>(F8-E8)/C8</f>
        <v>0.4593867349056413</v>
      </c>
      <c r="K8" s="1" t="s">
        <v>68</v>
      </c>
      <c r="L8" s="1" t="s">
        <v>75</v>
      </c>
    </row>
    <row r="9" spans="1:12" x14ac:dyDescent="0.25">
      <c r="A9" s="1">
        <v>1</v>
      </c>
      <c r="B9" s="1" t="s">
        <v>3</v>
      </c>
      <c r="C9" s="3">
        <v>15.615986647706777</v>
      </c>
      <c r="D9" s="3" t="s">
        <v>68</v>
      </c>
      <c r="E9" s="3">
        <v>11.562968806116533</v>
      </c>
      <c r="F9" s="3">
        <v>22.171975598410537</v>
      </c>
      <c r="G9" s="4" t="s">
        <v>72</v>
      </c>
      <c r="H9" s="3">
        <v>17.851960094630378</v>
      </c>
      <c r="I9" s="2">
        <f>SQRT(((C9/H9)-1)^2)</f>
        <v>0.1252508651750881</v>
      </c>
      <c r="J9" s="2">
        <f>(F9-E9)/C9</f>
        <v>0.67936833141772357</v>
      </c>
      <c r="K9" s="1" t="s">
        <v>68</v>
      </c>
      <c r="L9" s="1" t="s">
        <v>75</v>
      </c>
    </row>
    <row r="10" spans="1:12" x14ac:dyDescent="0.25">
      <c r="A10" s="1">
        <v>1</v>
      </c>
      <c r="B10" s="1" t="s">
        <v>3</v>
      </c>
      <c r="C10" s="3">
        <v>12.012296988427053</v>
      </c>
      <c r="D10" s="3" t="s">
        <v>68</v>
      </c>
      <c r="E10" s="3">
        <v>8.9757159760339409</v>
      </c>
      <c r="F10" s="3">
        <v>16.902041682124992</v>
      </c>
      <c r="G10" s="4" t="s">
        <v>71</v>
      </c>
      <c r="H10" s="3">
        <v>17.851960094630378</v>
      </c>
      <c r="I10" s="2">
        <f>SQRT(((C10/H10)-1)^2)</f>
        <v>0.32711607438332857</v>
      </c>
      <c r="J10" s="2">
        <f>(F10-E10)/C10</f>
        <v>0.65985096053881043</v>
      </c>
      <c r="K10" s="1" t="s">
        <v>68</v>
      </c>
      <c r="L10" s="1" t="s">
        <v>75</v>
      </c>
    </row>
    <row r="11" spans="1:12" x14ac:dyDescent="0.25">
      <c r="A11" s="1">
        <v>1</v>
      </c>
      <c r="B11" s="1" t="s">
        <v>3</v>
      </c>
      <c r="C11" s="3">
        <v>26.924111430281496</v>
      </c>
      <c r="D11" s="3" t="s">
        <v>68</v>
      </c>
      <c r="E11" s="3">
        <v>20.623208616541543</v>
      </c>
      <c r="F11" s="3">
        <v>36.962250084366332</v>
      </c>
      <c r="G11" s="4" t="s">
        <v>70</v>
      </c>
      <c r="H11" s="3">
        <v>17.851960094630378</v>
      </c>
      <c r="I11" s="2">
        <f>SQRT(((C11/H11)-1)^2)</f>
        <v>0.50818796857942194</v>
      </c>
      <c r="J11" s="2">
        <f>(F11-E11)/C11</f>
        <v>0.60685536494431158</v>
      </c>
      <c r="K11" s="1" t="s">
        <v>68</v>
      </c>
      <c r="L11" s="1" t="s">
        <v>75</v>
      </c>
    </row>
    <row r="12" spans="1:12" x14ac:dyDescent="0.25">
      <c r="A12" s="1">
        <v>1</v>
      </c>
      <c r="B12" s="1" t="s">
        <v>3</v>
      </c>
      <c r="C12" s="3">
        <v>18.590456700595489</v>
      </c>
      <c r="D12" s="3" t="s">
        <v>68</v>
      </c>
      <c r="E12" s="3">
        <v>13.203987075937452</v>
      </c>
      <c r="F12" s="3">
        <v>27.51351050933561</v>
      </c>
      <c r="G12" s="4" t="s">
        <v>69</v>
      </c>
      <c r="H12" s="3">
        <v>17.851960094630378</v>
      </c>
      <c r="I12" s="2">
        <f>SQRT(((C12/H12)-1)^2)</f>
        <v>4.136781630983144E-2</v>
      </c>
      <c r="J12" s="2">
        <f>(F12-E12)/C12</f>
        <v>0.76972414738685768</v>
      </c>
      <c r="K12" s="1" t="s">
        <v>68</v>
      </c>
      <c r="L12" s="1" t="s">
        <v>75</v>
      </c>
    </row>
    <row r="13" spans="1:12" x14ac:dyDescent="0.25">
      <c r="A13" s="1">
        <v>1</v>
      </c>
      <c r="B13" s="1" t="s">
        <v>3</v>
      </c>
      <c r="C13" s="3">
        <v>10.011770504856877</v>
      </c>
      <c r="D13" s="3" t="s">
        <v>68</v>
      </c>
      <c r="E13" s="3">
        <v>6.80600834416623</v>
      </c>
      <c r="F13" s="3">
        <v>15.917711797093743</v>
      </c>
      <c r="G13" s="4" t="s">
        <v>74</v>
      </c>
      <c r="H13" s="3">
        <v>17.851960094630378</v>
      </c>
      <c r="I13" s="2">
        <f>SQRT(((C13/H13)-1)^2)</f>
        <v>0.43917808174642525</v>
      </c>
      <c r="J13" s="2">
        <f>(F13-E13)/C13</f>
        <v>0.91009911269013544</v>
      </c>
      <c r="K13" s="1" t="s">
        <v>68</v>
      </c>
      <c r="L13" s="1" t="s">
        <v>75</v>
      </c>
    </row>
    <row r="14" spans="1:12" x14ac:dyDescent="0.25">
      <c r="A14" s="1">
        <v>1</v>
      </c>
      <c r="B14" s="1" t="s">
        <v>7</v>
      </c>
      <c r="C14" s="3">
        <v>29.279970392093944</v>
      </c>
      <c r="D14" s="3" t="s">
        <v>68</v>
      </c>
      <c r="E14" s="3">
        <v>24.059035097961974</v>
      </c>
      <c r="F14" s="3">
        <v>37.50986509451986</v>
      </c>
      <c r="G14" s="4" t="s">
        <v>73</v>
      </c>
      <c r="H14" s="3">
        <v>28.02107593614264</v>
      </c>
      <c r="I14" s="2">
        <f>SQRT(((C14/H14)-1)^2)</f>
        <v>4.4926699417974003E-2</v>
      </c>
      <c r="J14" s="2">
        <f>(F14-E14)/C14</f>
        <v>0.45938673490564125</v>
      </c>
      <c r="K14" s="1" t="s">
        <v>68</v>
      </c>
      <c r="L14" s="1" t="s">
        <v>75</v>
      </c>
    </row>
    <row r="15" spans="1:12" x14ac:dyDescent="0.25">
      <c r="A15" s="1">
        <v>1</v>
      </c>
      <c r="B15" s="1" t="s">
        <v>7</v>
      </c>
      <c r="C15" s="3">
        <v>43.724762613578974</v>
      </c>
      <c r="D15" s="3" t="s">
        <v>68</v>
      </c>
      <c r="E15" s="3">
        <v>32.376312657126292</v>
      </c>
      <c r="F15" s="3">
        <v>62.081531675549499</v>
      </c>
      <c r="G15" s="4" t="s">
        <v>72</v>
      </c>
      <c r="H15" s="3">
        <v>28.02107593614264</v>
      </c>
      <c r="I15" s="2">
        <f>SQRT(((C15/H15)-1)^2)</f>
        <v>0.56042411480642418</v>
      </c>
      <c r="J15" s="2">
        <f>(F15-E15)/C15</f>
        <v>0.67936833141772357</v>
      </c>
      <c r="K15" s="1" t="s">
        <v>68</v>
      </c>
      <c r="L15" s="1" t="s">
        <v>75</v>
      </c>
    </row>
    <row r="16" spans="1:12" x14ac:dyDescent="0.25">
      <c r="A16" s="1">
        <v>1</v>
      </c>
      <c r="B16" s="1" t="s">
        <v>7</v>
      </c>
      <c r="C16" s="3">
        <v>36.03689096528116</v>
      </c>
      <c r="D16" s="3" t="s">
        <v>68</v>
      </c>
      <c r="E16" s="3">
        <v>26.927147928101824</v>
      </c>
      <c r="F16" s="3">
        <v>50.706125046374979</v>
      </c>
      <c r="G16" s="4" t="s">
        <v>71</v>
      </c>
      <c r="H16" s="3">
        <v>28.02107593614264</v>
      </c>
      <c r="I16" s="2">
        <f>SQRT(((C16/H16)-1)^2)</f>
        <v>0.28606378453867354</v>
      </c>
      <c r="J16" s="2">
        <f>(F16-E16)/C16</f>
        <v>0.65985096053881043</v>
      </c>
      <c r="K16" s="1" t="s">
        <v>68</v>
      </c>
      <c r="L16" s="1" t="s">
        <v>75</v>
      </c>
    </row>
    <row r="17" spans="1:12" x14ac:dyDescent="0.25">
      <c r="A17" s="1">
        <v>1</v>
      </c>
      <c r="B17" s="1" t="s">
        <v>7</v>
      </c>
      <c r="C17" s="3">
        <v>21.539289144225197</v>
      </c>
      <c r="D17" s="3" t="s">
        <v>68</v>
      </c>
      <c r="E17" s="3">
        <v>16.498566893233235</v>
      </c>
      <c r="F17" s="3">
        <v>29.569800067493066</v>
      </c>
      <c r="G17" s="4" t="s">
        <v>70</v>
      </c>
      <c r="H17" s="3">
        <v>28.02107593614264</v>
      </c>
      <c r="I17" s="2">
        <f>SQRT(((C17/H17)-1)^2)</f>
        <v>0.23131826938725752</v>
      </c>
      <c r="J17" s="2">
        <f>(F17-E17)/C17</f>
        <v>0.60685536494431158</v>
      </c>
      <c r="K17" s="1" t="s">
        <v>68</v>
      </c>
      <c r="L17" s="1" t="s">
        <v>75</v>
      </c>
    </row>
    <row r="18" spans="1:12" x14ac:dyDescent="0.25">
      <c r="A18" s="1">
        <v>1</v>
      </c>
      <c r="B18" s="1" t="s">
        <v>7</v>
      </c>
      <c r="C18" s="3">
        <v>37.180913401190978</v>
      </c>
      <c r="D18" s="3" t="s">
        <v>68</v>
      </c>
      <c r="E18" s="3">
        <v>26.407974151874903</v>
      </c>
      <c r="F18" s="3">
        <v>55.027021018671221</v>
      </c>
      <c r="G18" s="4" t="s">
        <v>69</v>
      </c>
      <c r="H18" s="3">
        <v>28.02107593614264</v>
      </c>
      <c r="I18" s="2">
        <f>SQRT(((C18/H18)-1)^2)</f>
        <v>0.32689099754494566</v>
      </c>
      <c r="J18" s="2">
        <f>(F18-E18)/C18</f>
        <v>0.76972414738685768</v>
      </c>
      <c r="K18" s="1" t="s">
        <v>68</v>
      </c>
      <c r="L18" s="1" t="s">
        <v>75</v>
      </c>
    </row>
    <row r="19" spans="1:12" x14ac:dyDescent="0.25">
      <c r="A19" s="1">
        <v>1</v>
      </c>
      <c r="B19" s="1" t="s">
        <v>4</v>
      </c>
      <c r="C19" s="3">
        <v>42.461847322483294</v>
      </c>
      <c r="D19" s="3" t="s">
        <v>68</v>
      </c>
      <c r="E19" s="3" t="s">
        <v>68</v>
      </c>
      <c r="F19" s="3" t="s">
        <v>68</v>
      </c>
      <c r="G19" s="4" t="s">
        <v>73</v>
      </c>
      <c r="H19" s="3">
        <v>32.20689052164596</v>
      </c>
      <c r="I19" s="2">
        <f>SQRT(((C19/H19)-1)^2)</f>
        <v>0.31840878255369209</v>
      </c>
      <c r="J19" s="2" t="s">
        <v>68</v>
      </c>
      <c r="K19" s="1" t="s">
        <v>68</v>
      </c>
      <c r="L19" s="1" t="s">
        <v>67</v>
      </c>
    </row>
    <row r="20" spans="1:12" x14ac:dyDescent="0.25">
      <c r="A20" s="1">
        <v>1</v>
      </c>
      <c r="B20" s="1" t="s">
        <v>4</v>
      </c>
      <c r="C20" s="3">
        <v>16.984738928993316</v>
      </c>
      <c r="D20" s="3" t="s">
        <v>68</v>
      </c>
      <c r="E20" s="3" t="s">
        <v>68</v>
      </c>
      <c r="F20" s="3" t="s">
        <v>68</v>
      </c>
      <c r="G20" s="4" t="s">
        <v>72</v>
      </c>
      <c r="H20" s="3">
        <v>32.20689052164596</v>
      </c>
      <c r="I20" s="2">
        <f>SQRT(((C20/H20)-1)^2)</f>
        <v>0.47263648697852323</v>
      </c>
      <c r="J20" s="2" t="s">
        <v>68</v>
      </c>
      <c r="K20" s="1" t="s">
        <v>68</v>
      </c>
      <c r="L20" s="1" t="s">
        <v>67</v>
      </c>
    </row>
    <row r="21" spans="1:12" x14ac:dyDescent="0.25">
      <c r="A21" s="1">
        <v>1</v>
      </c>
      <c r="B21" s="1" t="s">
        <v>4</v>
      </c>
      <c r="C21" s="3">
        <v>28.30789821498886</v>
      </c>
      <c r="D21" s="3" t="s">
        <v>68</v>
      </c>
      <c r="E21" s="3" t="s">
        <v>68</v>
      </c>
      <c r="F21" s="3" t="s">
        <v>68</v>
      </c>
      <c r="G21" s="4" t="s">
        <v>71</v>
      </c>
      <c r="H21" s="3">
        <v>32.20689052164596</v>
      </c>
      <c r="I21" s="2">
        <f>SQRT(((C21/H21)-1)^2)</f>
        <v>0.12106081163087201</v>
      </c>
      <c r="J21" s="2" t="s">
        <v>68</v>
      </c>
      <c r="K21" s="1" t="s">
        <v>68</v>
      </c>
      <c r="L21" s="1" t="s">
        <v>67</v>
      </c>
    </row>
    <row r="22" spans="1:12" x14ac:dyDescent="0.25">
      <c r="A22" s="1">
        <v>1</v>
      </c>
      <c r="B22" s="1" t="s">
        <v>4</v>
      </c>
      <c r="C22" s="3">
        <v>31.138688036487746</v>
      </c>
      <c r="D22" s="3" t="s">
        <v>68</v>
      </c>
      <c r="E22" s="3" t="s">
        <v>68</v>
      </c>
      <c r="F22" s="3" t="s">
        <v>68</v>
      </c>
      <c r="G22" s="4" t="s">
        <v>70</v>
      </c>
      <c r="H22" s="3">
        <v>32.20689052164596</v>
      </c>
      <c r="I22" s="2">
        <f>SQRT(((C22/H22)-1)^2)</f>
        <v>3.3166892793959235E-2</v>
      </c>
      <c r="J22" s="2" t="s">
        <v>68</v>
      </c>
      <c r="K22" s="1" t="s">
        <v>68</v>
      </c>
      <c r="L22" s="1" t="s">
        <v>67</v>
      </c>
    </row>
    <row r="23" spans="1:12" x14ac:dyDescent="0.25">
      <c r="A23" s="1">
        <v>1</v>
      </c>
      <c r="B23" s="1" t="s">
        <v>4</v>
      </c>
      <c r="C23" s="3">
        <v>16.984738928993316</v>
      </c>
      <c r="D23" s="3" t="s">
        <v>68</v>
      </c>
      <c r="E23" s="3" t="s">
        <v>68</v>
      </c>
      <c r="F23" s="3" t="s">
        <v>68</v>
      </c>
      <c r="G23" s="4" t="s">
        <v>69</v>
      </c>
      <c r="H23" s="3">
        <v>32.20689052164596</v>
      </c>
      <c r="I23" s="2">
        <f>SQRT(((C23/H23)-1)^2)</f>
        <v>0.47263648697852323</v>
      </c>
      <c r="J23" s="2" t="s">
        <v>68</v>
      </c>
      <c r="K23" s="1" t="s">
        <v>68</v>
      </c>
      <c r="L23" s="1" t="s">
        <v>67</v>
      </c>
    </row>
    <row r="24" spans="1:12" x14ac:dyDescent="0.25">
      <c r="A24" s="1">
        <v>1</v>
      </c>
      <c r="B24" s="1" t="s">
        <v>4</v>
      </c>
      <c r="C24" s="3">
        <v>33.969477857986632</v>
      </c>
      <c r="D24" s="3" t="s">
        <v>68</v>
      </c>
      <c r="E24" s="3" t="s">
        <v>68</v>
      </c>
      <c r="F24" s="3" t="s">
        <v>68</v>
      </c>
      <c r="G24" s="4" t="s">
        <v>74</v>
      </c>
      <c r="H24" s="3">
        <v>32.20689052164596</v>
      </c>
      <c r="I24" s="2">
        <f>SQRT(((C24/H24)-1)^2)</f>
        <v>5.4727026042953542E-2</v>
      </c>
      <c r="J24" s="2" t="s">
        <v>68</v>
      </c>
      <c r="K24" s="1" t="s">
        <v>68</v>
      </c>
      <c r="L24" s="1" t="s">
        <v>67</v>
      </c>
    </row>
    <row r="25" spans="1:12" x14ac:dyDescent="0.25">
      <c r="A25" s="1">
        <v>1</v>
      </c>
      <c r="B25" s="1" t="s">
        <v>3</v>
      </c>
      <c r="C25" s="3">
        <v>28.30789821498886</v>
      </c>
      <c r="D25" s="3" t="s">
        <v>68</v>
      </c>
      <c r="E25" s="3" t="s">
        <v>68</v>
      </c>
      <c r="F25" s="3" t="s">
        <v>68</v>
      </c>
      <c r="G25" s="4" t="s">
        <v>73</v>
      </c>
      <c r="H25" s="3">
        <v>17.851960094630378</v>
      </c>
      <c r="I25" s="2">
        <f>SQRT(((C25/H25)-1)^2)</f>
        <v>0.58570252593738892</v>
      </c>
      <c r="J25" s="2" t="s">
        <v>68</v>
      </c>
      <c r="K25" s="1" t="s">
        <v>68</v>
      </c>
      <c r="L25" s="1" t="s">
        <v>67</v>
      </c>
    </row>
    <row r="26" spans="1:12" x14ac:dyDescent="0.25">
      <c r="A26" s="1">
        <v>1</v>
      </c>
      <c r="B26" s="1" t="s">
        <v>3</v>
      </c>
      <c r="C26" s="3">
        <v>14.15394910749443</v>
      </c>
      <c r="D26" s="3" t="s">
        <v>68</v>
      </c>
      <c r="E26" s="3" t="s">
        <v>68</v>
      </c>
      <c r="F26" s="3" t="s">
        <v>68</v>
      </c>
      <c r="G26" s="4" t="s">
        <v>72</v>
      </c>
      <c r="H26" s="3">
        <v>17.851960094630378</v>
      </c>
      <c r="I26" s="2">
        <f>SQRT(((C26/H26)-1)^2)</f>
        <v>0.20714873703130554</v>
      </c>
      <c r="J26" s="2" t="s">
        <v>68</v>
      </c>
      <c r="K26" s="1" t="s">
        <v>68</v>
      </c>
      <c r="L26" s="1" t="s">
        <v>67</v>
      </c>
    </row>
    <row r="27" spans="1:12" x14ac:dyDescent="0.25">
      <c r="A27" s="1">
        <v>1</v>
      </c>
      <c r="B27" s="1" t="s">
        <v>3</v>
      </c>
      <c r="C27" s="3">
        <v>11.323159285995544</v>
      </c>
      <c r="D27" s="3" t="s">
        <v>68</v>
      </c>
      <c r="E27" s="3" t="s">
        <v>68</v>
      </c>
      <c r="F27" s="3" t="s">
        <v>68</v>
      </c>
      <c r="G27" s="4" t="s">
        <v>71</v>
      </c>
      <c r="H27" s="3">
        <v>17.851960094630378</v>
      </c>
      <c r="I27" s="2">
        <f>SQRT(((C27/H27)-1)^2)</f>
        <v>0.36571898962504445</v>
      </c>
      <c r="J27" s="2" t="s">
        <v>68</v>
      </c>
      <c r="K27" s="1" t="s">
        <v>68</v>
      </c>
      <c r="L27" s="1" t="s">
        <v>67</v>
      </c>
    </row>
    <row r="28" spans="1:12" x14ac:dyDescent="0.25">
      <c r="A28" s="1">
        <v>1</v>
      </c>
      <c r="B28" s="1" t="s">
        <v>3</v>
      </c>
      <c r="C28" s="3">
        <v>28.30789821498886</v>
      </c>
      <c r="D28" s="3" t="s">
        <v>68</v>
      </c>
      <c r="E28" s="3" t="s">
        <v>68</v>
      </c>
      <c r="F28" s="3" t="s">
        <v>68</v>
      </c>
      <c r="G28" s="4" t="s">
        <v>70</v>
      </c>
      <c r="H28" s="3">
        <v>17.851960094630378</v>
      </c>
      <c r="I28" s="2">
        <f>SQRT(((C28/H28)-1)^2)</f>
        <v>0.58570252593738892</v>
      </c>
      <c r="J28" s="2" t="s">
        <v>68</v>
      </c>
      <c r="K28" s="1" t="s">
        <v>68</v>
      </c>
      <c r="L28" s="1" t="s">
        <v>67</v>
      </c>
    </row>
    <row r="29" spans="1:12" x14ac:dyDescent="0.25">
      <c r="A29" s="1">
        <v>1</v>
      </c>
      <c r="B29" s="1" t="s">
        <v>3</v>
      </c>
      <c r="C29" s="3">
        <v>14.15394910749443</v>
      </c>
      <c r="D29" s="3" t="s">
        <v>68</v>
      </c>
      <c r="E29" s="3" t="s">
        <v>68</v>
      </c>
      <c r="F29" s="3" t="s">
        <v>68</v>
      </c>
      <c r="G29" s="4" t="s">
        <v>69</v>
      </c>
      <c r="H29" s="3">
        <v>17.851960094630378</v>
      </c>
      <c r="I29" s="2">
        <f>SQRT(((C29/H29)-1)^2)</f>
        <v>0.20714873703130554</v>
      </c>
      <c r="J29" s="2" t="s">
        <v>68</v>
      </c>
      <c r="K29" s="1" t="s">
        <v>68</v>
      </c>
      <c r="L29" s="1" t="s">
        <v>67</v>
      </c>
    </row>
    <row r="30" spans="1:12" x14ac:dyDescent="0.25">
      <c r="A30" s="1">
        <v>1</v>
      </c>
      <c r="B30" s="1" t="s">
        <v>3</v>
      </c>
      <c r="C30" s="3">
        <v>8.4923694644966581</v>
      </c>
      <c r="D30" s="3" t="s">
        <v>68</v>
      </c>
      <c r="E30" s="3" t="s">
        <v>68</v>
      </c>
      <c r="F30" s="3" t="s">
        <v>68</v>
      </c>
      <c r="G30" s="4" t="s">
        <v>74</v>
      </c>
      <c r="H30" s="3">
        <v>17.851960094630378</v>
      </c>
      <c r="I30" s="2">
        <f>SQRT(((C30/H30)-1)^2)</f>
        <v>0.52428924221878326</v>
      </c>
      <c r="J30" s="2" t="s">
        <v>68</v>
      </c>
      <c r="K30" s="1" t="s">
        <v>68</v>
      </c>
      <c r="L30" s="1" t="s">
        <v>67</v>
      </c>
    </row>
    <row r="31" spans="1:12" x14ac:dyDescent="0.25">
      <c r="A31" s="1">
        <v>1</v>
      </c>
      <c r="B31" s="1" t="s">
        <v>7</v>
      </c>
      <c r="C31" s="3">
        <v>42.461847322483294</v>
      </c>
      <c r="D31" s="3" t="s">
        <v>68</v>
      </c>
      <c r="E31" s="3" t="s">
        <v>68</v>
      </c>
      <c r="F31" s="3" t="s">
        <v>68</v>
      </c>
      <c r="G31" s="4" t="s">
        <v>73</v>
      </c>
      <c r="H31" s="3">
        <v>28.02107593614264</v>
      </c>
      <c r="I31" s="2">
        <f>SQRT(((C31/H31)-1)^2)</f>
        <v>0.51535392214238285</v>
      </c>
      <c r="J31" s="2" t="s">
        <v>68</v>
      </c>
      <c r="K31" s="1" t="s">
        <v>68</v>
      </c>
      <c r="L31" s="1" t="s">
        <v>67</v>
      </c>
    </row>
    <row r="32" spans="1:12" x14ac:dyDescent="0.25">
      <c r="A32" s="1">
        <v>1</v>
      </c>
      <c r="B32" s="1" t="s">
        <v>7</v>
      </c>
      <c r="C32" s="3">
        <v>39.631057500984404</v>
      </c>
      <c r="D32" s="3" t="s">
        <v>68</v>
      </c>
      <c r="E32" s="3" t="s">
        <v>68</v>
      </c>
      <c r="F32" s="3" t="s">
        <v>68</v>
      </c>
      <c r="G32" s="4" t="s">
        <v>72</v>
      </c>
      <c r="H32" s="3">
        <v>28.02107593614264</v>
      </c>
      <c r="I32" s="2">
        <f>SQRT(((C32/H32)-1)^2)</f>
        <v>0.41433032733289066</v>
      </c>
      <c r="J32" s="2" t="s">
        <v>68</v>
      </c>
      <c r="K32" s="1" t="s">
        <v>68</v>
      </c>
      <c r="L32" s="1" t="s">
        <v>67</v>
      </c>
    </row>
    <row r="33" spans="1:12" x14ac:dyDescent="0.25">
      <c r="A33" s="1">
        <v>1</v>
      </c>
      <c r="B33" s="1" t="s">
        <v>7</v>
      </c>
      <c r="C33" s="3">
        <v>33.969477857986632</v>
      </c>
      <c r="D33" s="3" t="s">
        <v>68</v>
      </c>
      <c r="E33" s="3" t="s">
        <v>68</v>
      </c>
      <c r="F33" s="3" t="s">
        <v>68</v>
      </c>
      <c r="G33" s="4" t="s">
        <v>71</v>
      </c>
      <c r="H33" s="3">
        <v>28.02107593614264</v>
      </c>
      <c r="I33" s="2">
        <f>SQRT(((C33/H33)-1)^2)</f>
        <v>0.21228313771390628</v>
      </c>
      <c r="J33" s="2" t="s">
        <v>68</v>
      </c>
      <c r="K33" s="1" t="s">
        <v>68</v>
      </c>
      <c r="L33" s="1" t="s">
        <v>67</v>
      </c>
    </row>
    <row r="34" spans="1:12" x14ac:dyDescent="0.25">
      <c r="A34" s="1">
        <v>1</v>
      </c>
      <c r="B34" s="1" t="s">
        <v>7</v>
      </c>
      <c r="C34" s="3">
        <v>22.646318571991088</v>
      </c>
      <c r="D34" s="3" t="s">
        <v>68</v>
      </c>
      <c r="E34" s="3" t="s">
        <v>68</v>
      </c>
      <c r="F34" s="3" t="s">
        <v>68</v>
      </c>
      <c r="G34" s="4" t="s">
        <v>70</v>
      </c>
      <c r="H34" s="3">
        <v>28.02107593614264</v>
      </c>
      <c r="I34" s="2">
        <f>SQRT(((C34/H34)-1)^2)</f>
        <v>0.19181124152406248</v>
      </c>
      <c r="J34" s="2" t="s">
        <v>68</v>
      </c>
      <c r="K34" s="1" t="s">
        <v>68</v>
      </c>
      <c r="L34" s="1" t="s">
        <v>67</v>
      </c>
    </row>
    <row r="35" spans="1:12" x14ac:dyDescent="0.25">
      <c r="A35" s="1">
        <v>1</v>
      </c>
      <c r="B35" s="1" t="s">
        <v>7</v>
      </c>
      <c r="C35" s="3">
        <v>28.30789821498886</v>
      </c>
      <c r="D35" s="3" t="s">
        <v>68</v>
      </c>
      <c r="E35" s="3" t="s">
        <v>68</v>
      </c>
      <c r="F35" s="3" t="s">
        <v>68</v>
      </c>
      <c r="G35" s="4" t="s">
        <v>69</v>
      </c>
      <c r="H35" s="3">
        <v>28.02107593614264</v>
      </c>
      <c r="I35" s="2">
        <f>SQRT(((C35/H35)-1)^2)</f>
        <v>1.0235948094921898E-2</v>
      </c>
      <c r="J35" s="2" t="s">
        <v>68</v>
      </c>
      <c r="K35" s="1" t="s">
        <v>68</v>
      </c>
      <c r="L35" s="1" t="s">
        <v>67</v>
      </c>
    </row>
    <row r="36" spans="1:12" x14ac:dyDescent="0.25">
      <c r="A36" s="1">
        <v>2</v>
      </c>
      <c r="B36" s="1" t="s">
        <v>4</v>
      </c>
      <c r="C36" s="3">
        <v>36.750001864984434</v>
      </c>
      <c r="D36" s="3">
        <v>15.155442824896104</v>
      </c>
      <c r="E36" s="3">
        <v>22.671118886394328</v>
      </c>
      <c r="F36" s="3">
        <v>93.263031938862383</v>
      </c>
      <c r="G36" s="4" t="s">
        <v>61</v>
      </c>
      <c r="H36" s="3">
        <v>32.20689052164596</v>
      </c>
      <c r="I36" s="2">
        <f>SQRT(((C36/H36)-1)^2)</f>
        <v>0.14106022871984769</v>
      </c>
      <c r="J36" s="2">
        <f>(F36-E36)/C36</f>
        <v>1.9208682849000982</v>
      </c>
      <c r="K36" s="1" t="s">
        <v>1</v>
      </c>
      <c r="L36" s="1" t="s">
        <v>51</v>
      </c>
    </row>
    <row r="37" spans="1:12" x14ac:dyDescent="0.25">
      <c r="A37" s="1">
        <v>2</v>
      </c>
      <c r="B37" s="1" t="s">
        <v>4</v>
      </c>
      <c r="C37" s="3">
        <v>39.062500852321527</v>
      </c>
      <c r="D37" s="3">
        <v>13.281248096066454</v>
      </c>
      <c r="E37" s="3">
        <v>25.979267526338329</v>
      </c>
      <c r="F37" s="3">
        <v>86.522476009646667</v>
      </c>
      <c r="G37" s="4" t="s">
        <v>60</v>
      </c>
      <c r="H37" s="3">
        <v>32.20689052164596</v>
      </c>
      <c r="I37" s="2">
        <f>SQRT(((C37/H37)-1)^2)</f>
        <v>0.21286160258370712</v>
      </c>
      <c r="J37" s="2">
        <f>(F37-E37)/C37</f>
        <v>1.549906103354624</v>
      </c>
      <c r="K37" s="1" t="s">
        <v>1</v>
      </c>
      <c r="L37" s="1" t="s">
        <v>51</v>
      </c>
    </row>
    <row r="38" spans="1:12" x14ac:dyDescent="0.25">
      <c r="A38" s="1">
        <v>2</v>
      </c>
      <c r="B38" s="1" t="s">
        <v>4</v>
      </c>
      <c r="C38" s="3">
        <v>28.166666593784964</v>
      </c>
      <c r="D38" s="3">
        <v>6.1917653006033175</v>
      </c>
      <c r="E38" s="3">
        <v>22.179745273558197</v>
      </c>
      <c r="F38" s="3">
        <v>50.597356518255836</v>
      </c>
      <c r="G38" s="4" t="s">
        <v>59</v>
      </c>
      <c r="H38" s="3">
        <v>32.20689052164596</v>
      </c>
      <c r="I38" s="2">
        <f>SQRT(((C38/H38)-1)^2)</f>
        <v>0.1254459484421695</v>
      </c>
      <c r="J38" s="2">
        <f>(F38-E38)/C38</f>
        <v>1.0089092775702484</v>
      </c>
      <c r="K38" s="1" t="s">
        <v>1</v>
      </c>
      <c r="L38" s="1" t="s">
        <v>51</v>
      </c>
    </row>
    <row r="39" spans="1:12" x14ac:dyDescent="0.25">
      <c r="A39" s="1">
        <v>2</v>
      </c>
      <c r="B39" s="1" t="s">
        <v>4</v>
      </c>
      <c r="C39" s="3">
        <v>27.562499671737957</v>
      </c>
      <c r="D39" s="3">
        <v>8.5312486939404852</v>
      </c>
      <c r="E39" s="3">
        <v>19.633524375657778</v>
      </c>
      <c r="F39" s="3">
        <v>59.363913676553061</v>
      </c>
      <c r="G39" s="4" t="s">
        <v>58</v>
      </c>
      <c r="H39" s="3">
        <v>32.20689052164596</v>
      </c>
      <c r="I39" s="2">
        <f>SQRT(((C39/H39)-1)^2)</f>
        <v>0.1442048820821914</v>
      </c>
      <c r="J39" s="2">
        <f>(F39-E39)/C39</f>
        <v>1.4414653886285227</v>
      </c>
      <c r="K39" s="1" t="s">
        <v>1</v>
      </c>
      <c r="L39" s="1" t="s">
        <v>51</v>
      </c>
    </row>
    <row r="40" spans="1:12" x14ac:dyDescent="0.25">
      <c r="A40" s="1">
        <v>2</v>
      </c>
      <c r="B40" s="1" t="s">
        <v>4</v>
      </c>
      <c r="C40" s="3">
        <v>22.781250142595066</v>
      </c>
      <c r="D40" s="3">
        <v>3.2814173845844623</v>
      </c>
      <c r="E40" s="3">
        <v>19.870673808185355</v>
      </c>
      <c r="F40" s="3">
        <v>35.421594983630634</v>
      </c>
      <c r="G40" s="4" t="s">
        <v>66</v>
      </c>
      <c r="H40" s="3">
        <v>32.20689052164596</v>
      </c>
      <c r="I40" s="2">
        <f>SQRT(((C40/H40)-1)^2)</f>
        <v>0.2926591243794866</v>
      </c>
      <c r="J40" s="2">
        <f>(F40-E40)/C40</f>
        <v>0.68261930658357783</v>
      </c>
      <c r="K40" s="1" t="s">
        <v>1</v>
      </c>
      <c r="L40" s="1" t="s">
        <v>51</v>
      </c>
    </row>
    <row r="41" spans="1:12" x14ac:dyDescent="0.25">
      <c r="A41" s="1">
        <v>2</v>
      </c>
      <c r="B41" s="1" t="s">
        <v>4</v>
      </c>
      <c r="C41" s="3">
        <v>32.000000201439519</v>
      </c>
      <c r="D41" s="3">
        <v>16.970559519889342</v>
      </c>
      <c r="E41" s="3">
        <v>17.770823663375285</v>
      </c>
      <c r="F41" s="3">
        <v>99.922874198208618</v>
      </c>
      <c r="G41" s="4" t="s">
        <v>57</v>
      </c>
      <c r="H41" s="3">
        <v>32.20689052164596</v>
      </c>
      <c r="I41" s="2">
        <f>SQRT(((C41/H41)-1)^2)</f>
        <v>6.4237905881473489E-3</v>
      </c>
      <c r="J41" s="2">
        <f>(F41-E41)/C41</f>
        <v>2.5672515630527317</v>
      </c>
      <c r="K41" s="1" t="s">
        <v>1</v>
      </c>
      <c r="L41" s="1" t="s">
        <v>51</v>
      </c>
    </row>
    <row r="42" spans="1:12" x14ac:dyDescent="0.25">
      <c r="A42" s="1">
        <v>2</v>
      </c>
      <c r="B42" s="1" t="s">
        <v>4</v>
      </c>
      <c r="C42" s="3">
        <v>1591034553.3672056</v>
      </c>
      <c r="D42" s="3">
        <v>6637008144.0364809</v>
      </c>
      <c r="E42" s="3">
        <v>56105563.287362657</v>
      </c>
      <c r="F42" s="3">
        <v>45118371789.870255</v>
      </c>
      <c r="G42" s="4" t="s">
        <v>56</v>
      </c>
      <c r="H42" s="3">
        <v>32.20689052164596</v>
      </c>
      <c r="I42" s="2">
        <f>SQRT(((C42/H42)-1)^2)</f>
        <v>49400438.707083352</v>
      </c>
      <c r="J42" s="2">
        <f>(F42-E42)/C42</f>
        <v>28.322619474991797</v>
      </c>
      <c r="K42" s="1" t="s">
        <v>42</v>
      </c>
      <c r="L42" s="1" t="s">
        <v>51</v>
      </c>
    </row>
    <row r="43" spans="1:12" x14ac:dyDescent="0.25">
      <c r="A43" s="1">
        <v>2</v>
      </c>
      <c r="B43" s="1" t="s">
        <v>4</v>
      </c>
      <c r="C43" s="3">
        <v>16247323372.198322</v>
      </c>
      <c r="D43" s="3">
        <v>37094676582.065826</v>
      </c>
      <c r="E43" s="3">
        <v>1149079515.3556221</v>
      </c>
      <c r="F43" s="3">
        <v>229727808749.31226</v>
      </c>
      <c r="G43" s="4" t="s">
        <v>55</v>
      </c>
      <c r="H43" s="3">
        <v>32.20689052164596</v>
      </c>
      <c r="I43" s="2">
        <f>SQRT(((C43/H43)-1)^2)</f>
        <v>504467307.36305487</v>
      </c>
      <c r="J43" s="2">
        <f>(F43-E43)/C43</f>
        <v>14.06870067134197</v>
      </c>
      <c r="K43" s="1" t="s">
        <v>42</v>
      </c>
      <c r="L43" s="1" t="s">
        <v>51</v>
      </c>
    </row>
    <row r="44" spans="1:12" x14ac:dyDescent="0.25">
      <c r="A44" s="1">
        <v>2</v>
      </c>
      <c r="B44" s="1" t="s">
        <v>4</v>
      </c>
      <c r="C44" s="3">
        <v>40.499999488934193</v>
      </c>
      <c r="D44" s="3">
        <v>22.273859712224727</v>
      </c>
      <c r="E44" s="3">
        <v>21.3516624027407</v>
      </c>
      <c r="F44" s="3">
        <v>128.16140514588042</v>
      </c>
      <c r="G44" s="4" t="s">
        <v>65</v>
      </c>
      <c r="H44" s="3">
        <v>32.20689052164596</v>
      </c>
      <c r="I44" s="2">
        <f>SQRT(((C44/H44)-1)^2)</f>
        <v>0.25749486625275142</v>
      </c>
      <c r="J44" s="2">
        <f>(F44-E44)/C44</f>
        <v>2.6372776318756084</v>
      </c>
      <c r="K44" s="1" t="s">
        <v>1</v>
      </c>
      <c r="L44" s="1" t="s">
        <v>51</v>
      </c>
    </row>
    <row r="45" spans="1:12" x14ac:dyDescent="0.25">
      <c r="A45" s="1">
        <v>2</v>
      </c>
      <c r="B45" s="1" t="s">
        <v>4</v>
      </c>
      <c r="C45" s="3">
        <v>36.750001299222326</v>
      </c>
      <c r="D45" s="3">
        <v>15.155443716991401</v>
      </c>
      <c r="E45" s="3">
        <v>22.67111829116449</v>
      </c>
      <c r="F45" s="3">
        <v>93.263036987486757</v>
      </c>
      <c r="G45" s="4" t="s">
        <v>54</v>
      </c>
      <c r="H45" s="3">
        <v>32.20689052164596</v>
      </c>
      <c r="I45" s="2">
        <f>SQRT(((C45/H45)-1)^2)</f>
        <v>0.14106021115335499</v>
      </c>
      <c r="J45" s="2">
        <f>(F45-E45)/C45</f>
        <v>1.9208684680459065</v>
      </c>
      <c r="K45" s="1" t="s">
        <v>1</v>
      </c>
      <c r="L45" s="1" t="s">
        <v>51</v>
      </c>
    </row>
    <row r="46" spans="1:12" x14ac:dyDescent="0.25">
      <c r="A46" s="1">
        <v>2</v>
      </c>
      <c r="B46" s="1" t="s">
        <v>4</v>
      </c>
      <c r="C46" s="3">
        <v>31.999999440931813</v>
      </c>
      <c r="D46" s="3">
        <v>16.970559420942408</v>
      </c>
      <c r="E46" s="3">
        <v>17.770823345220855</v>
      </c>
      <c r="F46" s="3">
        <v>99.922874187194012</v>
      </c>
      <c r="G46" s="4" t="s">
        <v>53</v>
      </c>
      <c r="H46" s="3">
        <v>32.20689052164596</v>
      </c>
      <c r="I46" s="2">
        <f>SQRT(((C46/H46)-1)^2)</f>
        <v>6.4238142013460786E-3</v>
      </c>
      <c r="J46" s="2">
        <f>(F46-E46)/C46</f>
        <v>2.5672516336638087</v>
      </c>
      <c r="K46" s="1" t="s">
        <v>1</v>
      </c>
      <c r="L46" s="1" t="s">
        <v>51</v>
      </c>
    </row>
    <row r="47" spans="1:12" x14ac:dyDescent="0.25">
      <c r="A47" s="1">
        <v>2</v>
      </c>
      <c r="B47" s="1" t="s">
        <v>4</v>
      </c>
      <c r="C47" s="3">
        <v>24.199999855305013</v>
      </c>
      <c r="D47" s="3">
        <v>5.9032196269304995</v>
      </c>
      <c r="E47" s="3">
        <v>18.765921917766974</v>
      </c>
      <c r="F47" s="3">
        <v>46.355770147495733</v>
      </c>
      <c r="G47" s="4" t="s">
        <v>64</v>
      </c>
      <c r="H47" s="3">
        <v>32.20689052164596</v>
      </c>
      <c r="I47" s="2">
        <f>SQRT(((C47/H47)-1)^2)</f>
        <v>0.24860800085495949</v>
      </c>
      <c r="J47" s="2">
        <f>(F47-E47)/C47</f>
        <v>1.1400763799459543</v>
      </c>
      <c r="K47" s="1" t="s">
        <v>1</v>
      </c>
      <c r="L47" s="1" t="s">
        <v>51</v>
      </c>
    </row>
    <row r="48" spans="1:12" x14ac:dyDescent="0.25">
      <c r="A48" s="1">
        <v>2</v>
      </c>
      <c r="B48" s="1" t="s">
        <v>4</v>
      </c>
      <c r="C48" s="3">
        <v>18.062500083114724</v>
      </c>
      <c r="D48" s="3">
        <v>4.7812499680474003</v>
      </c>
      <c r="E48" s="3">
        <v>14.058419669424506</v>
      </c>
      <c r="F48" s="3">
        <v>37.214314824167808</v>
      </c>
      <c r="G48" s="4" t="s">
        <v>52</v>
      </c>
      <c r="H48" s="3">
        <v>32.20689052164596</v>
      </c>
      <c r="I48" s="2">
        <f>SQRT(((C48/H48)-1)^2)</f>
        <v>0.43917280462157371</v>
      </c>
      <c r="J48" s="2">
        <f>(F48-E48)/C48</f>
        <v>1.2819872691040157</v>
      </c>
      <c r="K48" s="1" t="s">
        <v>1</v>
      </c>
      <c r="L48" s="1" t="s">
        <v>51</v>
      </c>
    </row>
    <row r="49" spans="1:12" x14ac:dyDescent="0.25">
      <c r="A49" s="1">
        <v>2</v>
      </c>
      <c r="B49" s="1" t="s">
        <v>4</v>
      </c>
      <c r="C49" s="3">
        <v>22.041666148930446</v>
      </c>
      <c r="D49" s="3">
        <v>4.3036171578209803</v>
      </c>
      <c r="E49" s="3">
        <v>18.182557880917578</v>
      </c>
      <c r="F49" s="3">
        <v>38.494421514106662</v>
      </c>
      <c r="G49" s="4" t="s">
        <v>63</v>
      </c>
      <c r="H49" s="3">
        <v>32.20689052164596</v>
      </c>
      <c r="I49" s="2">
        <f>SQRT(((C49/H49)-1)^2)</f>
        <v>0.31562265739014939</v>
      </c>
      <c r="J49" s="2">
        <f>(F49-E49)/C49</f>
        <v>0.92152124507950139</v>
      </c>
      <c r="K49" s="1" t="s">
        <v>1</v>
      </c>
      <c r="L49" s="1" t="s">
        <v>51</v>
      </c>
    </row>
    <row r="50" spans="1:12" x14ac:dyDescent="0.25">
      <c r="A50" s="1">
        <v>2</v>
      </c>
      <c r="B50" s="1" t="s">
        <v>4</v>
      </c>
      <c r="C50" s="3">
        <v>20.249999828628646</v>
      </c>
      <c r="D50" s="3">
        <v>5.6249996276616798</v>
      </c>
      <c r="E50" s="3">
        <v>15.381042006220108</v>
      </c>
      <c r="F50" s="3">
        <v>42.28480066639797</v>
      </c>
      <c r="G50" s="4" t="s">
        <v>62</v>
      </c>
      <c r="H50" s="3">
        <v>32.20689052164596</v>
      </c>
      <c r="I50" s="2">
        <f>SQRT(((C50/H50)-1)^2)</f>
        <v>0.37125256426047082</v>
      </c>
      <c r="J50" s="2">
        <f>(F50-E50)/C50</f>
        <v>1.3285806858201745</v>
      </c>
      <c r="K50" s="1" t="s">
        <v>1</v>
      </c>
      <c r="L50" s="1" t="s">
        <v>51</v>
      </c>
    </row>
    <row r="51" spans="1:12" x14ac:dyDescent="0.25">
      <c r="A51" s="1">
        <v>2</v>
      </c>
      <c r="B51" s="1" t="s">
        <v>3</v>
      </c>
      <c r="C51" s="3">
        <v>14.062499996753676</v>
      </c>
      <c r="D51" s="3">
        <v>3.2812499411419074</v>
      </c>
      <c r="E51" s="3">
        <v>11.551822774269096</v>
      </c>
      <c r="F51" s="3">
        <v>27.996228984095247</v>
      </c>
      <c r="G51" s="4" t="s">
        <v>61</v>
      </c>
      <c r="H51" s="3">
        <v>17.851960094630378</v>
      </c>
      <c r="I51" s="2">
        <f>SQRT(((C51/H51)-1)^2)</f>
        <v>0.21227137399979512</v>
      </c>
      <c r="J51" s="2">
        <f>(F51-E51)/C51</f>
        <v>1.1693799974131438</v>
      </c>
      <c r="K51" s="1" t="s">
        <v>1</v>
      </c>
      <c r="L51" s="1" t="s">
        <v>51</v>
      </c>
    </row>
    <row r="52" spans="1:12" x14ac:dyDescent="0.25">
      <c r="A52" s="1">
        <v>2</v>
      </c>
      <c r="B52" s="1" t="s">
        <v>3</v>
      </c>
      <c r="C52" s="3">
        <v>16.333332602665337</v>
      </c>
      <c r="D52" s="3">
        <v>5.3886017933464689</v>
      </c>
      <c r="E52" s="3">
        <v>12.03047147461186</v>
      </c>
      <c r="F52" s="3">
        <v>38.603322703684739</v>
      </c>
      <c r="G52" s="4" t="s">
        <v>60</v>
      </c>
      <c r="H52" s="3">
        <v>17.851960094630378</v>
      </c>
      <c r="I52" s="2">
        <f>SQRT(((C52/H52)-1)^2)</f>
        <v>8.5067829185985211E-2</v>
      </c>
      <c r="J52" s="2">
        <f>(F52-E52)/C52</f>
        <v>1.6269093317022529</v>
      </c>
      <c r="K52" s="1" t="s">
        <v>1</v>
      </c>
      <c r="L52" s="1" t="s">
        <v>51</v>
      </c>
    </row>
    <row r="53" spans="1:12" x14ac:dyDescent="0.25">
      <c r="A53" s="1">
        <v>2</v>
      </c>
      <c r="B53" s="1" t="s">
        <v>3</v>
      </c>
      <c r="C53" s="3">
        <v>20.000000253778254</v>
      </c>
      <c r="D53" s="3">
        <v>4.4721361102708324</v>
      </c>
      <c r="E53" s="3">
        <v>16.112667099388801</v>
      </c>
      <c r="F53" s="3">
        <v>37.468537581020684</v>
      </c>
      <c r="G53" s="4" t="s">
        <v>59</v>
      </c>
      <c r="H53" s="3">
        <v>17.851960094630378</v>
      </c>
      <c r="I53" s="2">
        <f>SQRT(((C53/H53)-1)^2)</f>
        <v>0.12032517145240407</v>
      </c>
      <c r="J53" s="2">
        <f>(F53-E53)/C53</f>
        <v>1.0677935105324554</v>
      </c>
      <c r="K53" s="1" t="s">
        <v>1</v>
      </c>
      <c r="L53" s="1" t="s">
        <v>51</v>
      </c>
    </row>
    <row r="54" spans="1:12" x14ac:dyDescent="0.25">
      <c r="A54" s="1">
        <v>2</v>
      </c>
      <c r="B54" s="1" t="s">
        <v>3</v>
      </c>
      <c r="C54" s="3">
        <v>28.125000539144708</v>
      </c>
      <c r="D54" s="3">
        <v>14.584074624263076</v>
      </c>
      <c r="E54" s="3">
        <v>16.086962023395252</v>
      </c>
      <c r="F54" s="3">
        <v>87.107047503459597</v>
      </c>
      <c r="G54" s="4" t="s">
        <v>58</v>
      </c>
      <c r="H54" s="3">
        <v>17.851960094630378</v>
      </c>
      <c r="I54" s="2">
        <f>SQRT(((C54/H54)-1)^2)</f>
        <v>0.57545728256497264</v>
      </c>
      <c r="J54" s="2">
        <f>(F54-E54)/C54</f>
        <v>2.5251585464404793</v>
      </c>
      <c r="K54" s="1" t="s">
        <v>1</v>
      </c>
      <c r="L54" s="1" t="s">
        <v>51</v>
      </c>
    </row>
    <row r="55" spans="1:12" x14ac:dyDescent="0.25">
      <c r="A55" s="1">
        <v>2</v>
      </c>
      <c r="B55" s="1" t="s">
        <v>3</v>
      </c>
      <c r="C55" s="3">
        <v>2014397.9271944372</v>
      </c>
      <c r="D55" s="3">
        <v>138382069.98623472</v>
      </c>
      <c r="E55" s="3">
        <v>6748.0500649178393</v>
      </c>
      <c r="F55" s="3">
        <v>602482042.94726193</v>
      </c>
      <c r="G55" s="4" t="s">
        <v>66</v>
      </c>
      <c r="H55" s="3">
        <v>17.851960094630378</v>
      </c>
      <c r="I55" s="2">
        <f>SQRT(((C55/H55)-1)^2)</f>
        <v>112838.03372606912</v>
      </c>
      <c r="J55" s="2">
        <f>(F55-E55)/C55</f>
        <v>299.08454867023096</v>
      </c>
      <c r="K55" s="1" t="s">
        <v>42</v>
      </c>
      <c r="L55" s="1" t="s">
        <v>51</v>
      </c>
    </row>
    <row r="56" spans="1:12" x14ac:dyDescent="0.25">
      <c r="A56" s="1">
        <v>2</v>
      </c>
      <c r="B56" s="1" t="s">
        <v>3</v>
      </c>
      <c r="C56" s="3">
        <v>10.125000104926805</v>
      </c>
      <c r="D56" s="3">
        <v>3.9774754473406886</v>
      </c>
      <c r="E56" s="3">
        <v>7.4565130760521647</v>
      </c>
      <c r="F56" s="3">
        <v>28.39177642017124</v>
      </c>
      <c r="G56" s="4" t="s">
        <v>57</v>
      </c>
      <c r="H56" s="3">
        <v>17.851960094630378</v>
      </c>
      <c r="I56" s="2">
        <f>SQRT(((C56/H56)-1)^2)</f>
        <v>0.43283538327131565</v>
      </c>
      <c r="J56" s="2">
        <f>(F56-E56)/C56</f>
        <v>2.0676803088557025</v>
      </c>
      <c r="K56" s="1" t="s">
        <v>1</v>
      </c>
      <c r="L56" s="1" t="s">
        <v>51</v>
      </c>
    </row>
    <row r="57" spans="1:12" x14ac:dyDescent="0.25">
      <c r="A57" s="1">
        <v>2</v>
      </c>
      <c r="B57" s="1" t="s">
        <v>3</v>
      </c>
      <c r="C57" s="3">
        <v>14.062500072800484</v>
      </c>
      <c r="D57" s="3">
        <v>3.2812499329827722</v>
      </c>
      <c r="E57" s="3">
        <v>11.551822806031605</v>
      </c>
      <c r="F57" s="3">
        <v>27.996228849892454</v>
      </c>
      <c r="G57" s="4" t="s">
        <v>56</v>
      </c>
      <c r="H57" s="3">
        <v>17.851960094630378</v>
      </c>
      <c r="I57" s="2">
        <f>SQRT(((C57/H57)-1)^2)</f>
        <v>0.21227136973993743</v>
      </c>
      <c r="J57" s="2">
        <f>(F57-E57)/C57</f>
        <v>1.1693799792874253</v>
      </c>
      <c r="K57" s="1" t="s">
        <v>1</v>
      </c>
      <c r="L57" s="1" t="s">
        <v>51</v>
      </c>
    </row>
    <row r="58" spans="1:12" x14ac:dyDescent="0.25">
      <c r="A58" s="1">
        <v>2</v>
      </c>
      <c r="B58" s="1" t="s">
        <v>3</v>
      </c>
      <c r="C58" s="3">
        <v>8.3333333506541702</v>
      </c>
      <c r="D58" s="3">
        <v>1.9245009250969258</v>
      </c>
      <c r="E58" s="3">
        <v>7.1666022501781974</v>
      </c>
      <c r="F58" s="3">
        <v>17.670791193187195</v>
      </c>
      <c r="G58" s="4" t="s">
        <v>55</v>
      </c>
      <c r="H58" s="3">
        <v>17.851960094630378</v>
      </c>
      <c r="I58" s="2">
        <f>SQRT(((C58/H58)-1)^2)</f>
        <v>0.5331978501811282</v>
      </c>
      <c r="J58" s="2">
        <f>(F58-E58)/C58</f>
        <v>1.2605026705411244</v>
      </c>
      <c r="K58" s="1" t="s">
        <v>1</v>
      </c>
      <c r="L58" s="1" t="s">
        <v>51</v>
      </c>
    </row>
    <row r="59" spans="1:12" x14ac:dyDescent="0.25">
      <c r="A59" s="1">
        <v>2</v>
      </c>
      <c r="B59" s="1" t="s">
        <v>3</v>
      </c>
      <c r="C59" s="3">
        <v>15.999999720465906</v>
      </c>
      <c r="D59" s="3">
        <v>11.999997647077626</v>
      </c>
      <c r="E59" s="3">
        <v>8.241251461012908</v>
      </c>
      <c r="F59" s="3">
        <v>72.256716719017845</v>
      </c>
      <c r="G59" s="4" t="s">
        <v>65</v>
      </c>
      <c r="H59" s="3">
        <v>17.851960094630378</v>
      </c>
      <c r="I59" s="2">
        <f>SQRT(((C59/H59)-1)^2)</f>
        <v>0.1037398898690971</v>
      </c>
      <c r="J59" s="2">
        <f>(F59-E59)/C59</f>
        <v>4.0009666485257203</v>
      </c>
      <c r="K59" s="1" t="s">
        <v>1</v>
      </c>
      <c r="L59" s="1" t="s">
        <v>51</v>
      </c>
    </row>
    <row r="60" spans="1:12" x14ac:dyDescent="0.25">
      <c r="A60" s="1">
        <v>2</v>
      </c>
      <c r="B60" s="1" t="s">
        <v>3</v>
      </c>
      <c r="C60" s="3">
        <v>12.250000028070865</v>
      </c>
      <c r="D60" s="3">
        <v>2.6249999861081492</v>
      </c>
      <c r="E60" s="3">
        <v>10.365758556079358</v>
      </c>
      <c r="F60" s="3">
        <v>23.841098293324666</v>
      </c>
      <c r="G60" s="4" t="s">
        <v>54</v>
      </c>
      <c r="H60" s="3">
        <v>17.851960094630378</v>
      </c>
      <c r="I60" s="2">
        <f>SQRT(((C60/H60)-1)^2)</f>
        <v>0.31380083962009897</v>
      </c>
      <c r="J60" s="2">
        <f>(F60-E60)/C60</f>
        <v>1.1000277311319655</v>
      </c>
      <c r="K60" s="1" t="s">
        <v>1</v>
      </c>
      <c r="L60" s="1" t="s">
        <v>51</v>
      </c>
    </row>
    <row r="61" spans="1:12" x14ac:dyDescent="0.25">
      <c r="A61" s="1">
        <v>2</v>
      </c>
      <c r="B61" s="1" t="s">
        <v>3</v>
      </c>
      <c r="C61" s="3">
        <v>20.249999797302046</v>
      </c>
      <c r="D61" s="3">
        <v>15.749997553798638</v>
      </c>
      <c r="E61" s="3">
        <v>9.7673344806568867</v>
      </c>
      <c r="F61" s="3">
        <v>92.90893867363728</v>
      </c>
      <c r="G61" s="4" t="s">
        <v>53</v>
      </c>
      <c r="H61" s="3">
        <v>17.851960094630378</v>
      </c>
      <c r="I61" s="2">
        <f>SQRT(((C61/H61)-1)^2)</f>
        <v>0.13432921034777379</v>
      </c>
      <c r="J61" s="2">
        <f>(F61-E61)/C61</f>
        <v>4.1057582728498367</v>
      </c>
      <c r="K61" s="1" t="s">
        <v>1</v>
      </c>
      <c r="L61" s="1" t="s">
        <v>51</v>
      </c>
    </row>
    <row r="62" spans="1:12" x14ac:dyDescent="0.25">
      <c r="A62" s="1">
        <v>2</v>
      </c>
      <c r="B62" s="1" t="s">
        <v>3</v>
      </c>
      <c r="C62" s="3">
        <v>12.249999759346853</v>
      </c>
      <c r="D62" s="3">
        <v>8.7499984223677867</v>
      </c>
      <c r="E62" s="3">
        <v>6.8112347318142836</v>
      </c>
      <c r="F62" s="3">
        <v>54.151904078951972</v>
      </c>
      <c r="G62" s="4" t="s">
        <v>64</v>
      </c>
      <c r="H62" s="3">
        <v>17.851960094630378</v>
      </c>
      <c r="I62" s="2">
        <f>SQRT(((C62/H62)-1)^2)</f>
        <v>0.31380085467301244</v>
      </c>
      <c r="J62" s="2">
        <f>(F62-E62)/C62</f>
        <v>3.8645445124206113</v>
      </c>
      <c r="K62" s="1" t="s">
        <v>1</v>
      </c>
      <c r="L62" s="1" t="s">
        <v>51</v>
      </c>
    </row>
    <row r="63" spans="1:12" x14ac:dyDescent="0.25">
      <c r="A63" s="1">
        <v>2</v>
      </c>
      <c r="B63" s="1" t="s">
        <v>3</v>
      </c>
      <c r="C63" s="3">
        <v>14.062499996753676</v>
      </c>
      <c r="D63" s="3">
        <v>3.2812499411419074</v>
      </c>
      <c r="E63" s="3">
        <v>11.551822774269096</v>
      </c>
      <c r="F63" s="3">
        <v>27.996228984095247</v>
      </c>
      <c r="G63" s="4" t="s">
        <v>52</v>
      </c>
      <c r="H63" s="3">
        <v>17.851960094630378</v>
      </c>
      <c r="I63" s="2">
        <f>SQRT(((C63/H63)-1)^2)</f>
        <v>0.21227137399979512</v>
      </c>
      <c r="J63" s="2">
        <f>(F63-E63)/C63</f>
        <v>1.1693799974131438</v>
      </c>
      <c r="K63" s="1" t="s">
        <v>1</v>
      </c>
      <c r="L63" s="1" t="s">
        <v>51</v>
      </c>
    </row>
    <row r="64" spans="1:12" x14ac:dyDescent="0.25">
      <c r="A64" s="1">
        <v>2</v>
      </c>
      <c r="B64" s="1" t="s">
        <v>3</v>
      </c>
      <c r="C64" s="3">
        <v>14.08333314416258</v>
      </c>
      <c r="D64" s="3">
        <v>4.3782390067707748</v>
      </c>
      <c r="E64" s="3">
        <v>10.73511150320993</v>
      </c>
      <c r="F64" s="3">
        <v>32.681742148517394</v>
      </c>
      <c r="G64" s="4" t="s">
        <v>63</v>
      </c>
      <c r="H64" s="3">
        <v>17.851960094630378</v>
      </c>
      <c r="I64" s="2">
        <f>SQRT(((C64/H64)-1)^2)</f>
        <v>0.21110437904246426</v>
      </c>
      <c r="J64" s="2">
        <f>(F64-E64)/C64</f>
        <v>1.5583406584686348</v>
      </c>
      <c r="K64" s="1" t="s">
        <v>1</v>
      </c>
      <c r="L64" s="1" t="s">
        <v>51</v>
      </c>
    </row>
    <row r="65" spans="1:12" x14ac:dyDescent="0.25">
      <c r="A65" s="1">
        <v>2</v>
      </c>
      <c r="B65" s="1" t="s">
        <v>3</v>
      </c>
      <c r="C65" s="3">
        <v>7.9999999469068239</v>
      </c>
      <c r="D65" s="3">
        <v>2.8284270085945917</v>
      </c>
      <c r="E65" s="3">
        <v>6.2563475513320776</v>
      </c>
      <c r="F65" s="3">
        <v>21.603815081680352</v>
      </c>
      <c r="G65" s="4" t="s">
        <v>62</v>
      </c>
      <c r="H65" s="3">
        <v>17.851960094630378</v>
      </c>
      <c r="I65" s="2">
        <f>SQRT(((C65/H65)-1)^2)</f>
        <v>0.55186994007940271</v>
      </c>
      <c r="J65" s="2">
        <f>(F65-E65)/C65</f>
        <v>1.9184334540255001</v>
      </c>
      <c r="K65" s="1" t="s">
        <v>1</v>
      </c>
      <c r="L65" s="1" t="s">
        <v>51</v>
      </c>
    </row>
    <row r="66" spans="1:12" x14ac:dyDescent="0.25">
      <c r="A66" s="1">
        <v>2</v>
      </c>
      <c r="B66" s="1" t="s">
        <v>7</v>
      </c>
      <c r="C66" s="3">
        <v>30.035714187639613</v>
      </c>
      <c r="D66" s="3">
        <v>5.8719480258108945</v>
      </c>
      <c r="E66" s="3">
        <v>24.229646542572468</v>
      </c>
      <c r="F66" s="3">
        <v>50.960959180073218</v>
      </c>
      <c r="G66" s="4" t="s">
        <v>61</v>
      </c>
      <c r="H66" s="3">
        <v>28.02107593614264</v>
      </c>
      <c r="I66" s="2">
        <f>SQRT(((C66/H66)-1)^2)</f>
        <v>7.1897248203036224E-2</v>
      </c>
      <c r="J66" s="2">
        <f>(F66-E66)/C66</f>
        <v>0.88998425243043833</v>
      </c>
      <c r="K66" s="1" t="s">
        <v>1</v>
      </c>
      <c r="L66" s="1" t="s">
        <v>51</v>
      </c>
    </row>
    <row r="67" spans="1:12" x14ac:dyDescent="0.25">
      <c r="A67" s="1">
        <v>2</v>
      </c>
      <c r="B67" s="1" t="s">
        <v>7</v>
      </c>
      <c r="C67" s="3">
        <v>26.035714195288968</v>
      </c>
      <c r="D67" s="3">
        <v>4.7380541594908152</v>
      </c>
      <c r="E67" s="3">
        <v>21.552133309712108</v>
      </c>
      <c r="F67" s="3">
        <v>43.470822782593224</v>
      </c>
      <c r="G67" s="4" t="s">
        <v>60</v>
      </c>
      <c r="H67" s="3">
        <v>28.02107593614264</v>
      </c>
      <c r="I67" s="2">
        <f>SQRT(((C67/H67)-1)^2)</f>
        <v>7.085244497313814E-2</v>
      </c>
      <c r="J67" s="2">
        <f>(F67-E67)/C67</f>
        <v>0.84187010613471835</v>
      </c>
      <c r="K67" s="1" t="s">
        <v>1</v>
      </c>
      <c r="L67" s="1" t="s">
        <v>51</v>
      </c>
    </row>
    <row r="68" spans="1:12" x14ac:dyDescent="0.25">
      <c r="A68" s="1">
        <v>2</v>
      </c>
      <c r="B68" s="1" t="s">
        <v>7</v>
      </c>
      <c r="C68" s="3">
        <v>44.083333155074257</v>
      </c>
      <c r="D68" s="3">
        <v>18.811992174310323</v>
      </c>
      <c r="E68" s="3">
        <v>26.226394468936089</v>
      </c>
      <c r="F68" s="3">
        <v>113.15293766753673</v>
      </c>
      <c r="G68" s="4" t="s">
        <v>59</v>
      </c>
      <c r="H68" s="3">
        <v>28.02107593614264</v>
      </c>
      <c r="I68" s="2">
        <f>SQRT(((C68/H68)-1)^2)</f>
        <v>0.57322057352601186</v>
      </c>
      <c r="J68" s="2">
        <f>(F68-E68)/C68</f>
        <v>1.9718686627622863</v>
      </c>
      <c r="K68" s="1" t="s">
        <v>1</v>
      </c>
      <c r="L68" s="1" t="s">
        <v>51</v>
      </c>
    </row>
    <row r="69" spans="1:12" x14ac:dyDescent="0.25">
      <c r="A69" s="1">
        <v>2</v>
      </c>
      <c r="B69" s="1" t="s">
        <v>7</v>
      </c>
      <c r="C69" s="3">
        <v>19.531249921557599</v>
      </c>
      <c r="D69" s="3">
        <v>2.4859222811561823</v>
      </c>
      <c r="E69" s="3">
        <v>17.505666208510355</v>
      </c>
      <c r="F69" s="3">
        <v>29.670860851589055</v>
      </c>
      <c r="G69" s="4" t="s">
        <v>58</v>
      </c>
      <c r="H69" s="3">
        <v>28.02107593614264</v>
      </c>
      <c r="I69" s="2">
        <f>SQRT(((C69/H69)-1)^2)</f>
        <v>0.30298001525467988</v>
      </c>
      <c r="J69" s="2">
        <f>(F69-E69)/C69</f>
        <v>0.62285796822718331</v>
      </c>
      <c r="K69" s="1" t="s">
        <v>1</v>
      </c>
      <c r="L69" s="1" t="s">
        <v>51</v>
      </c>
    </row>
    <row r="70" spans="1:12" x14ac:dyDescent="0.25">
      <c r="A70" s="1">
        <v>2</v>
      </c>
      <c r="B70" s="1" t="s">
        <v>7</v>
      </c>
      <c r="C70" s="3">
        <v>28.166666732123762</v>
      </c>
      <c r="D70" s="3">
        <v>6.1917652109412966</v>
      </c>
      <c r="E70" s="3">
        <v>22.17974538318941</v>
      </c>
      <c r="F70" s="3">
        <v>50.597356015953359</v>
      </c>
      <c r="G70" s="4" t="s">
        <v>57</v>
      </c>
      <c r="H70" s="3">
        <v>28.02107593614264</v>
      </c>
      <c r="I70" s="2">
        <f>SQRT(((C70/H70)-1)^2)</f>
        <v>5.1957603738310709E-3</v>
      </c>
      <c r="J70" s="2">
        <f>(F70-E70)/C70</f>
        <v>1.008909250889598</v>
      </c>
      <c r="K70" s="1" t="s">
        <v>1</v>
      </c>
      <c r="L70" s="1" t="s">
        <v>51</v>
      </c>
    </row>
    <row r="71" spans="1:12" x14ac:dyDescent="0.25">
      <c r="A71" s="1">
        <v>2</v>
      </c>
      <c r="B71" s="1" t="s">
        <v>7</v>
      </c>
      <c r="C71" s="3">
        <v>24.199999855305013</v>
      </c>
      <c r="D71" s="3">
        <v>5.9032197611750705</v>
      </c>
      <c r="E71" s="3">
        <v>18.765921873639623</v>
      </c>
      <c r="F71" s="3">
        <v>46.355770881045999</v>
      </c>
      <c r="G71" s="4" t="s">
        <v>56</v>
      </c>
      <c r="H71" s="3">
        <v>28.02107593614264</v>
      </c>
      <c r="I71" s="2">
        <f>SQRT(((C71/H71)-1)^2)</f>
        <v>0.1363643597963724</v>
      </c>
      <c r="J71" s="2">
        <f>(F71-E71)/C71</f>
        <v>1.1400764120813933</v>
      </c>
      <c r="K71" s="1" t="s">
        <v>1</v>
      </c>
      <c r="L71" s="1" t="s">
        <v>51</v>
      </c>
    </row>
    <row r="72" spans="1:12" x14ac:dyDescent="0.25">
      <c r="A72" s="1">
        <v>2</v>
      </c>
      <c r="B72" s="1" t="s">
        <v>7</v>
      </c>
      <c r="C72" s="3">
        <v>20.571428509777416</v>
      </c>
      <c r="D72" s="3">
        <v>3.239695343893414</v>
      </c>
      <c r="E72" s="3">
        <v>17.782112813806457</v>
      </c>
      <c r="F72" s="3">
        <v>33.308518893039597</v>
      </c>
      <c r="G72" s="4" t="s">
        <v>55</v>
      </c>
      <c r="H72" s="3">
        <v>28.02107593614264</v>
      </c>
      <c r="I72" s="2">
        <f>SQRT(((C72/H72)-1)^2)</f>
        <v>0.2658587216044902</v>
      </c>
      <c r="J72" s="2">
        <f>(F72-E72)/C72</f>
        <v>0.75475585333578454</v>
      </c>
      <c r="K72" s="1" t="s">
        <v>1</v>
      </c>
      <c r="L72" s="1" t="s">
        <v>51</v>
      </c>
    </row>
    <row r="73" spans="1:12" x14ac:dyDescent="0.25">
      <c r="A73" s="1">
        <v>2</v>
      </c>
      <c r="B73" s="1" t="s">
        <v>7</v>
      </c>
      <c r="C73" s="3">
        <v>50.000002561514464</v>
      </c>
      <c r="D73" s="3">
        <v>28.284270281852621</v>
      </c>
      <c r="E73" s="3">
        <v>25.217460484464233</v>
      </c>
      <c r="F73" s="3">
        <v>159.87818085614995</v>
      </c>
      <c r="G73" s="4" t="s">
        <v>54</v>
      </c>
      <c r="H73" s="3">
        <v>28.02107593614264</v>
      </c>
      <c r="I73" s="2">
        <f>SQRT(((C73/H73)-1)^2)</f>
        <v>0.78437125952835296</v>
      </c>
      <c r="J73" s="2">
        <f>(F73-E73)/C73</f>
        <v>2.6932142694595687</v>
      </c>
      <c r="K73" s="1" t="s">
        <v>1</v>
      </c>
      <c r="L73" s="1" t="s">
        <v>51</v>
      </c>
    </row>
    <row r="74" spans="1:12" x14ac:dyDescent="0.25">
      <c r="A74" s="1">
        <v>2</v>
      </c>
      <c r="B74" s="1" t="s">
        <v>7</v>
      </c>
      <c r="C74" s="3">
        <v>30.249999784181838</v>
      </c>
      <c r="D74" s="3">
        <v>9.6249987861557145</v>
      </c>
      <c r="E74" s="3">
        <v>21.147112144528059</v>
      </c>
      <c r="F74" s="3">
        <v>65.682601642706487</v>
      </c>
      <c r="G74" s="4" t="s">
        <v>53</v>
      </c>
      <c r="H74" s="3">
        <v>28.02107593614264</v>
      </c>
      <c r="I74" s="2">
        <f>SQRT(((C74/H74)-1)^2)</f>
        <v>7.9544549007279475E-2</v>
      </c>
      <c r="J74" s="2">
        <f>(F74-E74)/C74</f>
        <v>1.4722475972203701</v>
      </c>
      <c r="K74" s="1" t="s">
        <v>1</v>
      </c>
      <c r="L74" s="1" t="s">
        <v>51</v>
      </c>
    </row>
    <row r="75" spans="1:12" x14ac:dyDescent="0.25">
      <c r="A75" s="1">
        <v>2</v>
      </c>
      <c r="B75" s="1" t="s">
        <v>7</v>
      </c>
      <c r="C75" s="3">
        <v>26.9999990097186</v>
      </c>
      <c r="D75" s="3">
        <v>10.392302861972293</v>
      </c>
      <c r="E75" s="3">
        <v>17.769537136662404</v>
      </c>
      <c r="F75" s="3">
        <v>66.994239155349703</v>
      </c>
      <c r="G75" s="4" t="s">
        <v>52</v>
      </c>
      <c r="H75" s="3">
        <v>28.02107593614264</v>
      </c>
      <c r="I75" s="2">
        <f>SQRT(((C75/H75)-1)^2)</f>
        <v>3.6439604558760608E-2</v>
      </c>
      <c r="J75" s="2">
        <f>(F75-E75)/C75</f>
        <v>1.8231371786705974</v>
      </c>
      <c r="K75" s="1" t="s">
        <v>1</v>
      </c>
      <c r="L75" s="1" t="s">
        <v>51</v>
      </c>
    </row>
    <row r="76" spans="1:12" x14ac:dyDescent="0.25">
      <c r="A76" s="1">
        <v>3</v>
      </c>
      <c r="B76" s="1" t="s">
        <v>4</v>
      </c>
      <c r="C76" s="3">
        <v>34.211645809646186</v>
      </c>
      <c r="D76" s="3">
        <v>7.283175698044384</v>
      </c>
      <c r="E76" s="3">
        <v>26.504324203345018</v>
      </c>
      <c r="F76" s="3">
        <v>58.870254710157873</v>
      </c>
      <c r="G76" s="4" t="s">
        <v>39</v>
      </c>
      <c r="H76" s="3">
        <v>32.20689052164596</v>
      </c>
      <c r="I76" s="2">
        <f>SQRT(((C76/H76)-1)^2)</f>
        <v>6.2246160853462351E-2</v>
      </c>
      <c r="J76" s="2">
        <f>(F76-E76)/C76</f>
        <v>0.94605008735613305</v>
      </c>
      <c r="K76" s="1" t="s">
        <v>1</v>
      </c>
      <c r="L76" s="1" t="s">
        <v>29</v>
      </c>
    </row>
    <row r="77" spans="1:12" x14ac:dyDescent="0.25">
      <c r="A77" s="1">
        <v>3</v>
      </c>
      <c r="B77" s="1" t="s">
        <v>4</v>
      </c>
      <c r="C77" s="3">
        <v>32.256502719393154</v>
      </c>
      <c r="D77" s="3">
        <v>6.0907965758852276</v>
      </c>
      <c r="E77" s="3">
        <v>25.856908012964638</v>
      </c>
      <c r="F77" s="3">
        <v>52.991460069874307</v>
      </c>
      <c r="G77" s="4" t="s">
        <v>38</v>
      </c>
      <c r="H77" s="3">
        <v>32.20689052164596</v>
      </c>
      <c r="I77" s="2">
        <f>SQRT(((C77/H77)-1)^2)</f>
        <v>1.5404218458734409E-3</v>
      </c>
      <c r="J77" s="2">
        <f>(F77-E77)/C77</f>
        <v>0.84121184162336105</v>
      </c>
      <c r="K77" s="1" t="s">
        <v>1</v>
      </c>
      <c r="L77" s="1" t="s">
        <v>29</v>
      </c>
    </row>
    <row r="78" spans="1:12" x14ac:dyDescent="0.25">
      <c r="A78" s="1">
        <v>3</v>
      </c>
      <c r="B78" s="1" t="s">
        <v>4</v>
      </c>
      <c r="C78" s="3">
        <v>28.113127629429336</v>
      </c>
      <c r="D78" s="3">
        <v>6.0089923969883632</v>
      </c>
      <c r="E78" s="3">
        <v>22.219586249963761</v>
      </c>
      <c r="F78" s="3">
        <v>49.655454899526568</v>
      </c>
      <c r="G78" s="4" t="s">
        <v>37</v>
      </c>
      <c r="H78" s="3">
        <v>32.20689052164596</v>
      </c>
      <c r="I78" s="2">
        <f>SQRT(((C78/H78)-1)^2)</f>
        <v>0.12710829347108943</v>
      </c>
      <c r="J78" s="2">
        <f>(F78-E78)/C78</f>
        <v>0.97590951142847715</v>
      </c>
      <c r="K78" s="1" t="s">
        <v>1</v>
      </c>
      <c r="L78" s="1" t="s">
        <v>29</v>
      </c>
    </row>
    <row r="79" spans="1:12" x14ac:dyDescent="0.25">
      <c r="A79" s="1">
        <v>3</v>
      </c>
      <c r="B79" s="1" t="s">
        <v>4</v>
      </c>
      <c r="C79" s="3">
        <v>27.523741094925029</v>
      </c>
      <c r="D79" s="3">
        <v>3.9848816848447401</v>
      </c>
      <c r="E79" s="3">
        <v>23.553252732293089</v>
      </c>
      <c r="F79" s="3">
        <v>41.643754715125255</v>
      </c>
      <c r="G79" s="4" t="s">
        <v>50</v>
      </c>
      <c r="H79" s="3">
        <v>32.20689052164596</v>
      </c>
      <c r="I79" s="2">
        <f>SQRT(((C79/H79)-1)^2)</f>
        <v>0.14540830706936547</v>
      </c>
      <c r="J79" s="2">
        <f>(F79-E79)/C79</f>
        <v>0.65726900716152237</v>
      </c>
      <c r="K79" s="1" t="s">
        <v>1</v>
      </c>
      <c r="L79" s="1" t="s">
        <v>29</v>
      </c>
    </row>
    <row r="80" spans="1:12" x14ac:dyDescent="0.25">
      <c r="A80" s="1">
        <v>3</v>
      </c>
      <c r="B80" s="1" t="s">
        <v>4</v>
      </c>
      <c r="C80" s="3">
        <v>30.978038150946009</v>
      </c>
      <c r="D80" s="3">
        <v>4.5854748873243167</v>
      </c>
      <c r="E80" s="3">
        <v>26.156509389392284</v>
      </c>
      <c r="F80" s="3">
        <v>46.579552250305746</v>
      </c>
      <c r="G80" s="4" t="s">
        <v>36</v>
      </c>
      <c r="H80" s="3">
        <v>32.20689052164596</v>
      </c>
      <c r="I80" s="2">
        <f>SQRT(((C80/H80)-1)^2)</f>
        <v>3.8154952272528408E-2</v>
      </c>
      <c r="J80" s="2">
        <f>(F80-E80)/C80</f>
        <v>0.65927489537583195</v>
      </c>
      <c r="K80" s="1" t="s">
        <v>1</v>
      </c>
      <c r="L80" s="1" t="s">
        <v>29</v>
      </c>
    </row>
    <row r="81" spans="1:12" x14ac:dyDescent="0.25">
      <c r="A81" s="1">
        <v>3</v>
      </c>
      <c r="B81" s="1" t="s">
        <v>4</v>
      </c>
      <c r="C81" s="3">
        <v>34.211646050837587</v>
      </c>
      <c r="D81" s="3">
        <v>7.283175504913884</v>
      </c>
      <c r="E81" s="3">
        <v>26.504324443727302</v>
      </c>
      <c r="F81" s="3">
        <v>58.870253792928693</v>
      </c>
      <c r="G81" s="4" t="s">
        <v>35</v>
      </c>
      <c r="H81" s="3">
        <v>32.20689052164596</v>
      </c>
      <c r="I81" s="2">
        <f>SQRT(((C81/H81)-1)^2)</f>
        <v>6.224616834227592E-2</v>
      </c>
      <c r="J81" s="2">
        <f>(F81-E81)/C81</f>
        <v>0.94605004684973337</v>
      </c>
      <c r="K81" s="1" t="s">
        <v>1</v>
      </c>
      <c r="L81" s="1" t="s">
        <v>29</v>
      </c>
    </row>
    <row r="82" spans="1:12" x14ac:dyDescent="0.25">
      <c r="A82" s="1">
        <v>3</v>
      </c>
      <c r="B82" s="1" t="s">
        <v>4</v>
      </c>
      <c r="C82" s="3">
        <v>27.460870807007176</v>
      </c>
      <c r="D82" s="3">
        <v>3.2478343435875665</v>
      </c>
      <c r="E82" s="3">
        <v>24.242457023589889</v>
      </c>
      <c r="F82" s="3">
        <v>39.016142191633065</v>
      </c>
      <c r="G82" s="4" t="s">
        <v>49</v>
      </c>
      <c r="H82" s="3">
        <v>32.20689052164596</v>
      </c>
      <c r="I82" s="2">
        <f>SQRT(((C82/H82)-1)^2)</f>
        <v>0.14736038275564134</v>
      </c>
      <c r="J82" s="2">
        <f>(F82-E82)/C82</f>
        <v>0.53799041086029153</v>
      </c>
      <c r="K82" s="1" t="s">
        <v>1</v>
      </c>
      <c r="L82" s="1" t="s">
        <v>29</v>
      </c>
    </row>
    <row r="83" spans="1:12" x14ac:dyDescent="0.25">
      <c r="A83" s="1">
        <v>3</v>
      </c>
      <c r="B83" s="1" t="s">
        <v>4</v>
      </c>
      <c r="C83" s="3">
        <v>25.676694076842992</v>
      </c>
      <c r="D83" s="3">
        <v>3.5556091515081105</v>
      </c>
      <c r="E83" s="3">
        <v>22.244570206643548</v>
      </c>
      <c r="F83" s="3">
        <v>38.573510414782461</v>
      </c>
      <c r="G83" s="4" t="s">
        <v>34</v>
      </c>
      <c r="H83" s="3">
        <v>32.20689052164596</v>
      </c>
      <c r="I83" s="2">
        <f>SQRT(((C83/H83)-1)^2)</f>
        <v>0.20275774342183339</v>
      </c>
      <c r="J83" s="2">
        <f>(F83-E83)/C83</f>
        <v>0.63594402609896239</v>
      </c>
      <c r="K83" s="1" t="s">
        <v>1</v>
      </c>
      <c r="L83" s="1" t="s">
        <v>29</v>
      </c>
    </row>
    <row r="84" spans="1:12" x14ac:dyDescent="0.25">
      <c r="A84" s="1">
        <v>3</v>
      </c>
      <c r="B84" s="1" t="s">
        <v>4</v>
      </c>
      <c r="C84" s="3">
        <v>24.828260286240667</v>
      </c>
      <c r="D84" s="3">
        <v>2.3433176399041371</v>
      </c>
      <c r="E84" s="3">
        <v>22.685712464685864</v>
      </c>
      <c r="F84" s="3">
        <v>33.665321339011456</v>
      </c>
      <c r="G84" s="4" t="s">
        <v>48</v>
      </c>
      <c r="H84" s="3">
        <v>32.20689052164596</v>
      </c>
      <c r="I84" s="2">
        <f>SQRT(((C84/H84)-1)^2)</f>
        <v>0.22910098168111515</v>
      </c>
      <c r="J84" s="2">
        <f>(F84-E84)/C84</f>
        <v>0.44222223980833147</v>
      </c>
      <c r="K84" s="1" t="s">
        <v>1</v>
      </c>
      <c r="L84" s="1" t="s">
        <v>29</v>
      </c>
    </row>
    <row r="85" spans="1:12" x14ac:dyDescent="0.25">
      <c r="A85" s="1">
        <v>3</v>
      </c>
      <c r="B85" s="1" t="s">
        <v>4</v>
      </c>
      <c r="C85" s="3">
        <v>24.883085320066048</v>
      </c>
      <c r="D85" s="3">
        <v>3.0694278391662246</v>
      </c>
      <c r="E85" s="3">
        <v>21.991121438297988</v>
      </c>
      <c r="F85" s="3">
        <v>36.213424934895841</v>
      </c>
      <c r="G85" s="4" t="s">
        <v>47</v>
      </c>
      <c r="H85" s="3">
        <v>32.20689052164596</v>
      </c>
      <c r="I85" s="2">
        <f>SQRT(((C85/H85)-1)^2)</f>
        <v>0.2273987051515467</v>
      </c>
      <c r="J85" s="2">
        <f>(F85-E85)/C85</f>
        <v>0.571565113958308</v>
      </c>
      <c r="K85" s="1" t="s">
        <v>1</v>
      </c>
      <c r="L85" s="1" t="s">
        <v>29</v>
      </c>
    </row>
    <row r="86" spans="1:12" x14ac:dyDescent="0.25">
      <c r="A86" s="1">
        <v>3</v>
      </c>
      <c r="B86" s="1" t="s">
        <v>4</v>
      </c>
      <c r="C86" s="3">
        <v>44.214559575214913</v>
      </c>
      <c r="D86" s="3">
        <v>14.514330314122365</v>
      </c>
      <c r="E86" s="3">
        <v>28.90414921512934</v>
      </c>
      <c r="F86" s="3">
        <v>93.476823826370293</v>
      </c>
      <c r="G86" s="4" t="s">
        <v>33</v>
      </c>
      <c r="H86" s="3">
        <v>32.20689052164596</v>
      </c>
      <c r="I86" s="2">
        <f>SQRT(((C86/H86)-1)^2)</f>
        <v>0.37282919459420372</v>
      </c>
      <c r="J86" s="2">
        <f>(F86-E86)/C86</f>
        <v>1.4604391682652442</v>
      </c>
      <c r="K86" s="1" t="s">
        <v>1</v>
      </c>
      <c r="L86" s="1" t="s">
        <v>29</v>
      </c>
    </row>
    <row r="87" spans="1:12" x14ac:dyDescent="0.25">
      <c r="A87" s="1">
        <v>3</v>
      </c>
      <c r="B87" s="1" t="s">
        <v>4</v>
      </c>
      <c r="C87" s="3">
        <v>36.536725654331839</v>
      </c>
      <c r="D87" s="3">
        <v>13.474354461826554</v>
      </c>
      <c r="E87" s="3">
        <v>23.171571585426875</v>
      </c>
      <c r="F87" s="3">
        <v>84.442123503082385</v>
      </c>
      <c r="G87" s="4" t="s">
        <v>32</v>
      </c>
      <c r="H87" s="3">
        <v>32.20689052164596</v>
      </c>
      <c r="I87" s="2">
        <f>SQRT(((C87/H87)-1)^2)</f>
        <v>0.13443816098222316</v>
      </c>
      <c r="J87" s="2">
        <f>(F87-E87)/C87</f>
        <v>1.6769579326107784</v>
      </c>
      <c r="K87" s="1" t="s">
        <v>1</v>
      </c>
      <c r="L87" s="1" t="s">
        <v>29</v>
      </c>
    </row>
    <row r="88" spans="1:12" x14ac:dyDescent="0.25">
      <c r="A88" s="1">
        <v>3</v>
      </c>
      <c r="B88" s="1" t="s">
        <v>4</v>
      </c>
      <c r="C88" s="3">
        <v>24.770329723631736</v>
      </c>
      <c r="D88" s="3">
        <v>4.273476229410015</v>
      </c>
      <c r="E88" s="3">
        <v>20.578769261351749</v>
      </c>
      <c r="F88" s="3">
        <v>40.090292251395347</v>
      </c>
      <c r="G88" s="4" t="s">
        <v>46</v>
      </c>
      <c r="H88" s="3">
        <v>32.20689052164596</v>
      </c>
      <c r="I88" s="2">
        <f>SQRT(((C88/H88)-1)^2)</f>
        <v>0.23089968256998228</v>
      </c>
      <c r="J88" s="2">
        <f>(F88-E88)/C88</f>
        <v>0.78769734629042676</v>
      </c>
      <c r="K88" s="1" t="s">
        <v>1</v>
      </c>
      <c r="L88" s="1" t="s">
        <v>29</v>
      </c>
    </row>
    <row r="89" spans="1:12" x14ac:dyDescent="0.25">
      <c r="A89" s="1">
        <v>3</v>
      </c>
      <c r="B89" s="1" t="s">
        <v>4</v>
      </c>
      <c r="C89" s="3">
        <v>39.493241438094849</v>
      </c>
      <c r="D89" s="3">
        <v>14.698616399202969</v>
      </c>
      <c r="E89" s="3">
        <v>24.797272803476162</v>
      </c>
      <c r="F89" s="3">
        <v>91.443191631110324</v>
      </c>
      <c r="G89" s="4" t="s">
        <v>31</v>
      </c>
      <c r="H89" s="3">
        <v>32.20689052164596</v>
      </c>
      <c r="I89" s="2">
        <f>SQRT(((C89/H89)-1)^2)</f>
        <v>0.22623577745115742</v>
      </c>
      <c r="J89" s="2">
        <f>(F89-E89)/C89</f>
        <v>1.6875271920158994</v>
      </c>
      <c r="K89" s="1" t="s">
        <v>1</v>
      </c>
      <c r="L89" s="1" t="s">
        <v>29</v>
      </c>
    </row>
    <row r="90" spans="1:12" x14ac:dyDescent="0.25">
      <c r="A90" s="1">
        <v>3</v>
      </c>
      <c r="B90" s="1" t="s">
        <v>4</v>
      </c>
      <c r="C90" s="3">
        <v>30.504586278483</v>
      </c>
      <c r="D90" s="3">
        <v>6.3683996755573542</v>
      </c>
      <c r="E90" s="3">
        <v>23.881197799871991</v>
      </c>
      <c r="F90" s="3">
        <v>52.354029330836276</v>
      </c>
      <c r="G90" s="4" t="s">
        <v>45</v>
      </c>
      <c r="H90" s="3">
        <v>32.20689052164596</v>
      </c>
      <c r="I90" s="2">
        <f>SQRT(((C90/H90)-1)^2)</f>
        <v>5.2855280829388285E-2</v>
      </c>
      <c r="J90" s="2">
        <f>(F90-E90)/C90</f>
        <v>0.93339510560902605</v>
      </c>
      <c r="K90" s="1" t="s">
        <v>1</v>
      </c>
      <c r="L90" s="1" t="s">
        <v>29</v>
      </c>
    </row>
    <row r="91" spans="1:12" x14ac:dyDescent="0.25">
      <c r="A91" s="1">
        <v>3</v>
      </c>
      <c r="B91" s="1" t="s">
        <v>4</v>
      </c>
      <c r="C91" s="3">
        <v>27.369316380671965</v>
      </c>
      <c r="D91" s="3">
        <v>6.8762921649312494</v>
      </c>
      <c r="E91" s="3">
        <v>20.587899116923641</v>
      </c>
      <c r="F91" s="3">
        <v>51.920985894334663</v>
      </c>
      <c r="G91" s="4" t="s">
        <v>44</v>
      </c>
      <c r="H91" s="3">
        <v>32.20689052164596</v>
      </c>
      <c r="I91" s="2">
        <f>SQRT(((C91/H91)-1)^2)</f>
        <v>0.15020307960877832</v>
      </c>
      <c r="J91" s="2">
        <f>(F91-E91)/C91</f>
        <v>1.1448253343857082</v>
      </c>
      <c r="K91" s="1" t="s">
        <v>1</v>
      </c>
      <c r="L91" s="1" t="s">
        <v>29</v>
      </c>
    </row>
    <row r="92" spans="1:12" x14ac:dyDescent="0.25">
      <c r="A92" s="1">
        <v>3</v>
      </c>
      <c r="B92" s="1" t="s">
        <v>4</v>
      </c>
      <c r="C92" s="3">
        <v>26.371639523214959</v>
      </c>
      <c r="D92" s="3">
        <v>5.2507994991700748</v>
      </c>
      <c r="E92" s="3">
        <v>21.100277715044257</v>
      </c>
      <c r="F92" s="3">
        <v>44.873278029367555</v>
      </c>
      <c r="G92" s="4" t="s">
        <v>30</v>
      </c>
      <c r="H92" s="3">
        <v>32.20689052164596</v>
      </c>
      <c r="I92" s="2">
        <f>SQRT(((C92/H92)-1)^2)</f>
        <v>0.18118020410909219</v>
      </c>
      <c r="J92" s="2">
        <f>(F92-E92)/C92</f>
        <v>0.90146083990704939</v>
      </c>
      <c r="K92" s="1" t="s">
        <v>1</v>
      </c>
      <c r="L92" s="1" t="s">
        <v>29</v>
      </c>
    </row>
    <row r="93" spans="1:12" x14ac:dyDescent="0.25">
      <c r="A93" s="1">
        <v>3</v>
      </c>
      <c r="B93" s="1" t="s">
        <v>4</v>
      </c>
      <c r="C93" s="3">
        <v>28.732658704279405</v>
      </c>
      <c r="D93" s="3">
        <v>4.5361970615152343</v>
      </c>
      <c r="E93" s="3">
        <v>24.029650317138948</v>
      </c>
      <c r="F93" s="3">
        <v>44.333252602943872</v>
      </c>
      <c r="G93" s="4" t="s">
        <v>43</v>
      </c>
      <c r="H93" s="3">
        <v>32.20689052164596</v>
      </c>
      <c r="I93" s="2">
        <f>SQRT(((C93/H93)-1)^2)</f>
        <v>0.1078723143121052</v>
      </c>
      <c r="J93" s="2">
        <f>(F93-E93)/C93</f>
        <v>0.70663848044041022</v>
      </c>
      <c r="K93" s="1" t="s">
        <v>1</v>
      </c>
      <c r="L93" s="1" t="s">
        <v>29</v>
      </c>
    </row>
    <row r="94" spans="1:12" x14ac:dyDescent="0.25">
      <c r="A94" s="1">
        <v>3</v>
      </c>
      <c r="B94" s="1" t="s">
        <v>4</v>
      </c>
      <c r="C94" s="3">
        <v>24.770329386904695</v>
      </c>
      <c r="D94" s="3">
        <v>4.2734763375423528</v>
      </c>
      <c r="E94" s="3">
        <v>20.578769030559695</v>
      </c>
      <c r="F94" s="3">
        <v>40.090292873031473</v>
      </c>
      <c r="G94" s="4" t="s">
        <v>41</v>
      </c>
      <c r="H94" s="3">
        <v>32.20689052164596</v>
      </c>
      <c r="I94" s="2">
        <f>SQRT(((C94/H94)-1)^2)</f>
        <v>0.23089969302510649</v>
      </c>
      <c r="J94" s="2">
        <f>(F94-E94)/C94</f>
        <v>0.78769739141163442</v>
      </c>
      <c r="K94" s="1" t="s">
        <v>1</v>
      </c>
      <c r="L94" s="1" t="s">
        <v>29</v>
      </c>
    </row>
    <row r="95" spans="1:12" x14ac:dyDescent="0.25">
      <c r="A95" s="1">
        <v>3</v>
      </c>
      <c r="B95" s="1" t="s">
        <v>4</v>
      </c>
      <c r="C95" s="3">
        <v>21.139510142554556</v>
      </c>
      <c r="D95" s="3">
        <v>2.6818315225840386</v>
      </c>
      <c r="E95" s="3">
        <v>18.735807017459635</v>
      </c>
      <c r="F95" s="3">
        <v>31.395528584699345</v>
      </c>
      <c r="G95" s="4" t="s">
        <v>40</v>
      </c>
      <c r="H95" s="3">
        <v>32.20689052164596</v>
      </c>
      <c r="I95" s="2">
        <f>SQRT(((C95/H95)-1)^2)</f>
        <v>0.34363393049860302</v>
      </c>
      <c r="J95" s="2">
        <f>(F95-E95)/C95</f>
        <v>0.59886541749873656</v>
      </c>
      <c r="K95" s="1" t="s">
        <v>1</v>
      </c>
      <c r="L95" s="1" t="s">
        <v>29</v>
      </c>
    </row>
    <row r="96" spans="1:12" x14ac:dyDescent="0.25">
      <c r="A96" s="1">
        <v>3</v>
      </c>
      <c r="B96" s="1" t="s">
        <v>3</v>
      </c>
      <c r="C96" s="3">
        <v>13.615898381346687</v>
      </c>
      <c r="D96" s="3">
        <v>1.9276359575142079</v>
      </c>
      <c r="E96" s="3">
        <v>12.255636521668409</v>
      </c>
      <c r="F96" s="3">
        <v>22.214219634179631</v>
      </c>
      <c r="G96" s="4" t="s">
        <v>39</v>
      </c>
      <c r="H96" s="3">
        <v>17.851960094630378</v>
      </c>
      <c r="I96" s="2">
        <f>SQRT(((C96/H96)-1)^2)</f>
        <v>0.23728832524994492</v>
      </c>
      <c r="J96" s="2">
        <f>(F96-E96)/C96</f>
        <v>0.73139375997063394</v>
      </c>
      <c r="K96" s="1" t="s">
        <v>1</v>
      </c>
      <c r="L96" s="1" t="s">
        <v>29</v>
      </c>
    </row>
    <row r="97" spans="1:12" x14ac:dyDescent="0.25">
      <c r="A97" s="1">
        <v>3</v>
      </c>
      <c r="B97" s="1" t="s">
        <v>3</v>
      </c>
      <c r="C97" s="3">
        <v>17.071067837553763</v>
      </c>
      <c r="D97" s="3">
        <v>2.0658574686829776</v>
      </c>
      <c r="E97" s="3">
        <v>15.406253183818377</v>
      </c>
      <c r="F97" s="3">
        <v>25.558248300811446</v>
      </c>
      <c r="G97" s="4" t="s">
        <v>38</v>
      </c>
      <c r="H97" s="3">
        <v>17.851960094630378</v>
      </c>
      <c r="I97" s="2">
        <f>SQRT(((C97/H97)-1)^2)</f>
        <v>4.3742662034713886E-2</v>
      </c>
      <c r="J97" s="2">
        <f>(F97-E97)/C97</f>
        <v>0.5946901045440296</v>
      </c>
      <c r="K97" s="1" t="s">
        <v>1</v>
      </c>
      <c r="L97" s="1" t="s">
        <v>29</v>
      </c>
    </row>
    <row r="98" spans="1:12" x14ac:dyDescent="0.25">
      <c r="A98" s="1">
        <v>3</v>
      </c>
      <c r="B98" s="1" t="s">
        <v>3</v>
      </c>
      <c r="C98" s="3">
        <v>15.56220561300502</v>
      </c>
      <c r="D98" s="3">
        <v>2.5848679122343592</v>
      </c>
      <c r="E98" s="3">
        <v>13.495931860852998</v>
      </c>
      <c r="F98" s="3">
        <v>26.23749918390574</v>
      </c>
      <c r="G98" s="4" t="s">
        <v>37</v>
      </c>
      <c r="H98" s="3">
        <v>17.851960094630378</v>
      </c>
      <c r="I98" s="2">
        <f>SQRT(((C98/H98)-1)^2)</f>
        <v>0.12826347748301792</v>
      </c>
      <c r="J98" s="2">
        <f>(F98-E98)/C98</f>
        <v>0.81875073751787941</v>
      </c>
      <c r="K98" s="1" t="s">
        <v>1</v>
      </c>
      <c r="L98" s="1" t="s">
        <v>29</v>
      </c>
    </row>
    <row r="99" spans="1:12" x14ac:dyDescent="0.25">
      <c r="A99" s="1">
        <v>3</v>
      </c>
      <c r="B99" s="1" t="s">
        <v>3</v>
      </c>
      <c r="C99" s="3">
        <v>17.262087493351533</v>
      </c>
      <c r="D99" s="3">
        <v>4.0449691697863415</v>
      </c>
      <c r="E99" s="3">
        <v>13.88606208748663</v>
      </c>
      <c r="F99" s="3">
        <v>33.501260642480247</v>
      </c>
      <c r="G99" s="4" t="s">
        <v>50</v>
      </c>
      <c r="H99" s="3">
        <v>17.851960094630378</v>
      </c>
      <c r="I99" s="2">
        <f>SQRT(((C99/H99)-1)^2)</f>
        <v>3.3042455738867105E-2</v>
      </c>
      <c r="J99" s="2">
        <f>(F99-E99)/C99</f>
        <v>1.1363167150293023</v>
      </c>
      <c r="K99" s="1" t="s">
        <v>1</v>
      </c>
      <c r="L99" s="1" t="s">
        <v>29</v>
      </c>
    </row>
    <row r="100" spans="1:12" x14ac:dyDescent="0.25">
      <c r="A100" s="1">
        <v>3</v>
      </c>
      <c r="B100" s="1" t="s">
        <v>3</v>
      </c>
      <c r="C100" s="3">
        <v>17.453560123148304</v>
      </c>
      <c r="D100" s="3">
        <v>2.3602839776794289</v>
      </c>
      <c r="E100" s="3">
        <v>15.502129119828444</v>
      </c>
      <c r="F100" s="3">
        <v>26.988863103498701</v>
      </c>
      <c r="G100" s="4" t="s">
        <v>36</v>
      </c>
      <c r="H100" s="3">
        <v>17.851960094630378</v>
      </c>
      <c r="I100" s="2">
        <f>SQRT(((C100/H100)-1)^2)</f>
        <v>2.231687553468753E-2</v>
      </c>
      <c r="J100" s="2">
        <f>(F100-E100)/C100</f>
        <v>0.6581312868333169</v>
      </c>
      <c r="K100" s="1" t="s">
        <v>1</v>
      </c>
      <c r="L100" s="1" t="s">
        <v>29</v>
      </c>
    </row>
    <row r="101" spans="1:12" x14ac:dyDescent="0.25">
      <c r="A101" s="1">
        <v>3</v>
      </c>
      <c r="B101" s="1" t="s">
        <v>3</v>
      </c>
      <c r="C101" s="3">
        <v>19.999999867539941</v>
      </c>
      <c r="D101" s="3">
        <v>5.1639777154637452</v>
      </c>
      <c r="E101" s="3">
        <v>15.394448899194829</v>
      </c>
      <c r="F101" s="3">
        <v>39.816649452888612</v>
      </c>
      <c r="G101" s="4" t="s">
        <v>35</v>
      </c>
      <c r="H101" s="3">
        <v>17.851960094630378</v>
      </c>
      <c r="I101" s="2">
        <f>SQRT(((C101/H101)-1)^2)</f>
        <v>0.12032514981677922</v>
      </c>
      <c r="J101" s="2">
        <f>(F101-E101)/C101</f>
        <v>1.2211100357721045</v>
      </c>
      <c r="K101" s="1" t="s">
        <v>1</v>
      </c>
      <c r="L101" s="1" t="s">
        <v>29</v>
      </c>
    </row>
    <row r="102" spans="1:12" x14ac:dyDescent="0.25">
      <c r="A102" s="1">
        <v>3</v>
      </c>
      <c r="B102" s="1" t="s">
        <v>3</v>
      </c>
      <c r="C102" s="3">
        <v>18.913861987653537</v>
      </c>
      <c r="D102" s="3">
        <v>5.5247807171658332</v>
      </c>
      <c r="E102" s="3">
        <v>14.252077029628357</v>
      </c>
      <c r="F102" s="3">
        <v>40.932597421258016</v>
      </c>
      <c r="G102" s="4" t="s">
        <v>49</v>
      </c>
      <c r="H102" s="3">
        <v>17.851960094630378</v>
      </c>
      <c r="I102" s="2">
        <f>SQRT(((C102/H102)-1)^2)</f>
        <v>5.948377026355578E-2</v>
      </c>
      <c r="J102" s="2">
        <f>(F102-E102)/C102</f>
        <v>1.4106331329395334</v>
      </c>
      <c r="K102" s="1" t="s">
        <v>1</v>
      </c>
      <c r="L102" s="1" t="s">
        <v>29</v>
      </c>
    </row>
    <row r="103" spans="1:12" x14ac:dyDescent="0.25">
      <c r="A103" s="1">
        <v>3</v>
      </c>
      <c r="B103" s="1" t="s">
        <v>3</v>
      </c>
      <c r="C103" s="3">
        <v>19.351331856909965</v>
      </c>
      <c r="D103" s="3">
        <v>2.9088002973052203</v>
      </c>
      <c r="E103" s="3">
        <v>16.771539892918483</v>
      </c>
      <c r="F103" s="3">
        <v>30.557154229128425</v>
      </c>
      <c r="G103" s="4" t="s">
        <v>34</v>
      </c>
      <c r="H103" s="3">
        <v>17.851960094630378</v>
      </c>
      <c r="I103" s="2">
        <f>SQRT(((C103/H103)-1)^2)</f>
        <v>8.3989195266606975E-2</v>
      </c>
      <c r="J103" s="2">
        <f>(F103-E103)/C103</f>
        <v>0.71238581603298701</v>
      </c>
      <c r="K103" s="1" t="s">
        <v>1</v>
      </c>
      <c r="L103" s="1" t="s">
        <v>29</v>
      </c>
    </row>
    <row r="104" spans="1:12" x14ac:dyDescent="0.25">
      <c r="A104" s="1">
        <v>3</v>
      </c>
      <c r="B104" s="1" t="s">
        <v>3</v>
      </c>
      <c r="C104" s="3">
        <v>17.905694172515691</v>
      </c>
      <c r="D104" s="3">
        <v>2.7138516247030284</v>
      </c>
      <c r="E104" s="3">
        <v>15.615366589619541</v>
      </c>
      <c r="F104" s="3">
        <v>28.720372159645024</v>
      </c>
      <c r="G104" s="4" t="s">
        <v>48</v>
      </c>
      <c r="H104" s="3">
        <v>17.851960094630378</v>
      </c>
      <c r="I104" s="2">
        <f>SQRT(((C104/H104)-1)^2)</f>
        <v>3.0099819627915636E-3</v>
      </c>
      <c r="J104" s="2">
        <f>(F104-E104)/C104</f>
        <v>0.73189039440542802</v>
      </c>
      <c r="K104" s="1" t="s">
        <v>1</v>
      </c>
      <c r="L104" s="1" t="s">
        <v>29</v>
      </c>
    </row>
    <row r="105" spans="1:12" x14ac:dyDescent="0.25">
      <c r="A105" s="1">
        <v>3</v>
      </c>
      <c r="B105" s="1" t="s">
        <v>3</v>
      </c>
      <c r="C105" s="3">
        <v>22.049262722750136</v>
      </c>
      <c r="D105" s="3">
        <v>6.9338677209242343</v>
      </c>
      <c r="E105" s="3">
        <v>15.868850704243725</v>
      </c>
      <c r="F105" s="3">
        <v>48.668703194284333</v>
      </c>
      <c r="G105" s="4" t="s">
        <v>47</v>
      </c>
      <c r="H105" s="3">
        <v>17.851960094630378</v>
      </c>
      <c r="I105" s="2">
        <f>SQRT(((C105/H105)-1)^2)</f>
        <v>0.23511718634091316</v>
      </c>
      <c r="J105" s="2">
        <f>(F105-E105)/C105</f>
        <v>1.487571394221638</v>
      </c>
      <c r="K105" s="1" t="s">
        <v>1</v>
      </c>
      <c r="L105" s="1" t="s">
        <v>29</v>
      </c>
    </row>
    <row r="106" spans="1:12" x14ac:dyDescent="0.25">
      <c r="A106" s="1">
        <v>3</v>
      </c>
      <c r="B106" s="1" t="s">
        <v>3</v>
      </c>
      <c r="C106" s="3">
        <v>11.593646495019257</v>
      </c>
      <c r="D106" s="3">
        <v>1.0280525802679716</v>
      </c>
      <c r="E106" s="3">
        <v>11.059072811997108</v>
      </c>
      <c r="F106" s="3">
        <v>16.965792877202119</v>
      </c>
      <c r="G106" s="4" t="s">
        <v>33</v>
      </c>
      <c r="H106" s="3">
        <v>17.851960094630378</v>
      </c>
      <c r="I106" s="2">
        <f>SQRT(((C106/H106)-1)^2)</f>
        <v>0.35056730837604411</v>
      </c>
      <c r="J106" s="2">
        <f>(F106-E106)/C106</f>
        <v>0.50947905542424421</v>
      </c>
      <c r="K106" s="1" t="s">
        <v>1</v>
      </c>
      <c r="L106" s="1" t="s">
        <v>29</v>
      </c>
    </row>
    <row r="107" spans="1:12" x14ac:dyDescent="0.25">
      <c r="A107" s="1">
        <v>3</v>
      </c>
      <c r="B107" s="1" t="s">
        <v>3</v>
      </c>
      <c r="C107" s="3">
        <v>11.216990510057295</v>
      </c>
      <c r="D107" s="3">
        <v>2.4317881112120632</v>
      </c>
      <c r="E107" s="3">
        <v>9.3883618630133903</v>
      </c>
      <c r="F107" s="3">
        <v>21.655843402199981</v>
      </c>
      <c r="G107" s="4" t="s">
        <v>32</v>
      </c>
      <c r="H107" s="3">
        <v>17.851960094630378</v>
      </c>
      <c r="I107" s="2">
        <f>SQRT(((C107/H107)-1)^2)</f>
        <v>0.37166616715487677</v>
      </c>
      <c r="J107" s="2">
        <f>(F107-E107)/C107</f>
        <v>1.0936517712293161</v>
      </c>
      <c r="K107" s="1" t="s">
        <v>1</v>
      </c>
      <c r="L107" s="1" t="s">
        <v>29</v>
      </c>
    </row>
    <row r="108" spans="1:12" x14ac:dyDescent="0.25">
      <c r="A108" s="1">
        <v>3</v>
      </c>
      <c r="B108" s="1" t="s">
        <v>3</v>
      </c>
      <c r="C108" s="3">
        <v>10.292649294358274</v>
      </c>
      <c r="D108" s="3">
        <v>2.6215330645100514</v>
      </c>
      <c r="E108" s="3">
        <v>8.3819188122193253</v>
      </c>
      <c r="F108" s="3">
        <v>21.762717673888709</v>
      </c>
      <c r="G108" s="4" t="s">
        <v>46</v>
      </c>
      <c r="H108" s="3">
        <v>17.851960094630378</v>
      </c>
      <c r="I108" s="2">
        <f>SQRT(((C108/H108)-1)^2)</f>
        <v>0.42344430304579495</v>
      </c>
      <c r="J108" s="2">
        <f>(F108-E108)/C108</f>
        <v>1.3000344691627472</v>
      </c>
      <c r="K108" s="1" t="s">
        <v>1</v>
      </c>
      <c r="L108" s="1" t="s">
        <v>29</v>
      </c>
    </row>
    <row r="109" spans="1:12" x14ac:dyDescent="0.25">
      <c r="A109" s="1">
        <v>3</v>
      </c>
      <c r="B109" s="1" t="s">
        <v>3</v>
      </c>
      <c r="C109" s="3">
        <v>13.270078003593659</v>
      </c>
      <c r="D109" s="3">
        <v>1.600400638987179</v>
      </c>
      <c r="E109" s="3">
        <v>12.187850857356423</v>
      </c>
      <c r="F109" s="3">
        <v>20.587121495814081</v>
      </c>
      <c r="G109" s="4" t="s">
        <v>31</v>
      </c>
      <c r="H109" s="3">
        <v>17.851960094630378</v>
      </c>
      <c r="I109" s="2">
        <f>SQRT(((C109/H109)-1)^2)</f>
        <v>0.25665988870403567</v>
      </c>
      <c r="J109" s="2">
        <f>(F109-E109)/C109</f>
        <v>0.63294809843491939</v>
      </c>
      <c r="K109" s="1" t="s">
        <v>1</v>
      </c>
      <c r="L109" s="1" t="s">
        <v>29</v>
      </c>
    </row>
    <row r="110" spans="1:12" x14ac:dyDescent="0.25">
      <c r="A110" s="1">
        <v>3</v>
      </c>
      <c r="B110" s="1" t="s">
        <v>3</v>
      </c>
      <c r="C110" s="3">
        <v>11.747301442203351</v>
      </c>
      <c r="D110" s="3">
        <v>1.2184612531794059</v>
      </c>
      <c r="E110" s="3">
        <v>11.080179349778689</v>
      </c>
      <c r="F110" s="3">
        <v>17.965128141605852</v>
      </c>
      <c r="G110" s="4" t="s">
        <v>45</v>
      </c>
      <c r="H110" s="3">
        <v>17.851960094630378</v>
      </c>
      <c r="I110" s="2">
        <f>SQRT(((C110/H110)-1)^2)</f>
        <v>0.34196013323283325</v>
      </c>
      <c r="J110" s="2">
        <f>(F110-E110)/C110</f>
        <v>0.58608769219901846</v>
      </c>
      <c r="K110" s="1" t="s">
        <v>1</v>
      </c>
      <c r="L110" s="1" t="s">
        <v>29</v>
      </c>
    </row>
    <row r="111" spans="1:12" x14ac:dyDescent="0.25">
      <c r="A111" s="1">
        <v>3</v>
      </c>
      <c r="B111" s="1" t="s">
        <v>3</v>
      </c>
      <c r="C111" s="3">
        <v>9.4051249260962813</v>
      </c>
      <c r="D111" s="3">
        <v>1.7840399136017384</v>
      </c>
      <c r="E111" s="3">
        <v>8.2058906197891055</v>
      </c>
      <c r="F111" s="3">
        <v>17.589441519771206</v>
      </c>
      <c r="G111" s="4" t="s">
        <v>44</v>
      </c>
      <c r="H111" s="3">
        <v>17.851960094630378</v>
      </c>
      <c r="I111" s="2">
        <f>SQRT(((C111/H111)-1)^2)</f>
        <v>0.47316009691702077</v>
      </c>
      <c r="J111" s="2">
        <f>(F111-E111)/C111</f>
        <v>0.99770614146184078</v>
      </c>
      <c r="K111" s="1" t="s">
        <v>1</v>
      </c>
      <c r="L111" s="1" t="s">
        <v>29</v>
      </c>
    </row>
    <row r="112" spans="1:12" x14ac:dyDescent="0.25">
      <c r="A112" s="1">
        <v>3</v>
      </c>
      <c r="B112" s="1" t="s">
        <v>3</v>
      </c>
      <c r="C112" s="3">
        <v>11.593646529023838</v>
      </c>
      <c r="D112" s="3">
        <v>1.0280526495878413</v>
      </c>
      <c r="E112" s="3">
        <v>11.059072814632442</v>
      </c>
      <c r="F112" s="3">
        <v>16.965793294509908</v>
      </c>
      <c r="G112" s="4" t="s">
        <v>30</v>
      </c>
      <c r="H112" s="3">
        <v>17.851960094630378</v>
      </c>
      <c r="I112" s="2">
        <f>SQRT(((C112/H112)-1)^2)</f>
        <v>0.35056730647123469</v>
      </c>
      <c r="J112" s="2">
        <f>(F112-E112)/C112</f>
        <v>0.50947908969713951</v>
      </c>
      <c r="K112" s="1" t="s">
        <v>1</v>
      </c>
      <c r="L112" s="1" t="s">
        <v>29</v>
      </c>
    </row>
    <row r="113" spans="1:12" x14ac:dyDescent="0.25">
      <c r="A113" s="1">
        <v>3</v>
      </c>
      <c r="B113" s="1" t="s">
        <v>3</v>
      </c>
      <c r="C113" s="3">
        <v>10.000000000709242</v>
      </c>
      <c r="D113" s="3">
        <v>3.1341627982524228E-5</v>
      </c>
      <c r="E113" s="3">
        <v>10.000000000000082</v>
      </c>
      <c r="F113" s="3">
        <v>10.000006135482359</v>
      </c>
      <c r="G113" s="4" t="s">
        <v>43</v>
      </c>
      <c r="H113" s="3">
        <v>17.851960094630378</v>
      </c>
      <c r="I113" s="2">
        <f>SQRT(((C113/H113)-1)^2)</f>
        <v>0.43983742134192294</v>
      </c>
      <c r="J113" s="2">
        <f>(F113-E113)/C113</f>
        <v>6.1354822764681486E-7</v>
      </c>
      <c r="K113" s="1" t="s">
        <v>42</v>
      </c>
      <c r="L113" s="1" t="s">
        <v>29</v>
      </c>
    </row>
    <row r="114" spans="1:12" x14ac:dyDescent="0.25">
      <c r="A114" s="1">
        <v>3</v>
      </c>
      <c r="B114" s="1" t="s">
        <v>3</v>
      </c>
      <c r="C114" s="3">
        <v>10.292649221296179</v>
      </c>
      <c r="D114" s="3">
        <v>2.6215330041174192</v>
      </c>
      <c r="E114" s="3">
        <v>8.3819187959521351</v>
      </c>
      <c r="F114" s="3">
        <v>21.76271738290864</v>
      </c>
      <c r="G114" s="4" t="s">
        <v>41</v>
      </c>
      <c r="H114" s="3">
        <v>17.851960094630378</v>
      </c>
      <c r="I114" s="2">
        <f>SQRT(((C114/H114)-1)^2)</f>
        <v>0.42344430713846015</v>
      </c>
      <c r="J114" s="2">
        <f>(F114-E114)/C114</f>
        <v>1.300034451700806</v>
      </c>
      <c r="K114" s="1" t="s">
        <v>1</v>
      </c>
      <c r="L114" s="1" t="s">
        <v>29</v>
      </c>
    </row>
    <row r="115" spans="1:12" x14ac:dyDescent="0.25">
      <c r="A115" s="1">
        <v>3</v>
      </c>
      <c r="B115" s="1" t="s">
        <v>3</v>
      </c>
      <c r="C115" s="3">
        <v>11.747301407267752</v>
      </c>
      <c r="D115" s="3">
        <v>1.2184616161031252</v>
      </c>
      <c r="E115" s="3">
        <v>11.080179311476856</v>
      </c>
      <c r="F115" s="3">
        <v>17.965130817636979</v>
      </c>
      <c r="G115" s="4" t="s">
        <v>40</v>
      </c>
      <c r="H115" s="3">
        <v>17.851960094630378</v>
      </c>
      <c r="I115" s="2">
        <f>SQRT(((C115/H115)-1)^2)</f>
        <v>0.34196013518979484</v>
      </c>
      <c r="J115" s="2">
        <f>(F115-E115)/C115</f>
        <v>0.58608792500212692</v>
      </c>
      <c r="K115" s="1" t="s">
        <v>1</v>
      </c>
      <c r="L115" s="1" t="s">
        <v>29</v>
      </c>
    </row>
    <row r="116" spans="1:12" x14ac:dyDescent="0.25">
      <c r="A116" s="1">
        <v>3</v>
      </c>
      <c r="B116" s="1" t="s">
        <v>7</v>
      </c>
      <c r="C116" s="3">
        <v>29.543961346655802</v>
      </c>
      <c r="D116" s="3">
        <v>3.1996496530663778</v>
      </c>
      <c r="E116" s="3">
        <v>26.310010731057734</v>
      </c>
      <c r="F116" s="3">
        <v>40.761385941648491</v>
      </c>
      <c r="G116" s="4" t="s">
        <v>39</v>
      </c>
      <c r="H116" s="3">
        <v>28.02107593614264</v>
      </c>
      <c r="I116" s="2">
        <f>SQRT(((C116/H116)-1)^2)</f>
        <v>5.4347856377238157E-2</v>
      </c>
      <c r="J116" s="2">
        <f>(F116-E116)/C116</f>
        <v>0.48914818974424923</v>
      </c>
      <c r="K116" s="1" t="s">
        <v>1</v>
      </c>
      <c r="L116" s="1" t="s">
        <v>29</v>
      </c>
    </row>
    <row r="117" spans="1:12" x14ac:dyDescent="0.25">
      <c r="A117" s="1">
        <v>3</v>
      </c>
      <c r="B117" s="1" t="s">
        <v>7</v>
      </c>
      <c r="C117" s="3">
        <v>29.639985553154276</v>
      </c>
      <c r="D117" s="3">
        <v>3.8829070955104377</v>
      </c>
      <c r="E117" s="3">
        <v>25.663726370616292</v>
      </c>
      <c r="F117" s="3">
        <v>43.119392227945411</v>
      </c>
      <c r="G117" s="4" t="s">
        <v>38</v>
      </c>
      <c r="H117" s="3">
        <v>28.02107593614264</v>
      </c>
      <c r="I117" s="2">
        <f>SQRT(((C117/H117)-1)^2)</f>
        <v>5.7774712887576962E-2</v>
      </c>
      <c r="J117" s="2">
        <f>(F117-E117)/C117</f>
        <v>0.58892288682210558</v>
      </c>
      <c r="K117" s="1" t="s">
        <v>1</v>
      </c>
      <c r="L117" s="1" t="s">
        <v>29</v>
      </c>
    </row>
    <row r="118" spans="1:12" x14ac:dyDescent="0.25">
      <c r="A118" s="1">
        <v>3</v>
      </c>
      <c r="B118" s="1" t="s">
        <v>7</v>
      </c>
      <c r="C118" s="3">
        <v>24.33570913877141</v>
      </c>
      <c r="D118" s="3">
        <v>2.055439527270674</v>
      </c>
      <c r="E118" s="3">
        <v>22.529433348606705</v>
      </c>
      <c r="F118" s="3">
        <v>32.304483454428158</v>
      </c>
      <c r="G118" s="4" t="s">
        <v>37</v>
      </c>
      <c r="H118" s="3">
        <v>28.02107593614264</v>
      </c>
      <c r="I118" s="2">
        <f>SQRT(((C118/H118)-1)^2)</f>
        <v>0.13152124514311403</v>
      </c>
      <c r="J118" s="2">
        <f>(F118-E118)/C118</f>
        <v>0.40167517001787056</v>
      </c>
      <c r="K118" s="1" t="s">
        <v>1</v>
      </c>
      <c r="L118" s="1" t="s">
        <v>29</v>
      </c>
    </row>
    <row r="119" spans="1:12" x14ac:dyDescent="0.25">
      <c r="A119" s="1">
        <v>3</v>
      </c>
      <c r="B119" s="1" t="s">
        <v>7</v>
      </c>
      <c r="C119" s="3">
        <v>28.838963363815274</v>
      </c>
      <c r="D119" s="3">
        <v>4.0495108840177769</v>
      </c>
      <c r="E119" s="3">
        <v>24.70965212124776</v>
      </c>
      <c r="F119" s="3">
        <v>42.941772212170541</v>
      </c>
      <c r="G119" s="4" t="s">
        <v>36</v>
      </c>
      <c r="H119" s="3">
        <v>28.02107593614264</v>
      </c>
      <c r="I119" s="2">
        <f>SQRT(((C119/H119)-1)^2)</f>
        <v>2.9188294894047617E-2</v>
      </c>
      <c r="J119" s="2">
        <f>(F119-E119)/C119</f>
        <v>0.63220441944868666</v>
      </c>
      <c r="K119" s="1" t="s">
        <v>1</v>
      </c>
      <c r="L119" s="1" t="s">
        <v>29</v>
      </c>
    </row>
    <row r="120" spans="1:12" x14ac:dyDescent="0.25">
      <c r="A120" s="1">
        <v>3</v>
      </c>
      <c r="B120" s="1" t="s">
        <v>7</v>
      </c>
      <c r="C120" s="3">
        <v>25.246950964394969</v>
      </c>
      <c r="D120" s="3">
        <v>2.5947101297005046</v>
      </c>
      <c r="E120" s="3">
        <v>22.819018272126108</v>
      </c>
      <c r="F120" s="3">
        <v>34.872350866870669</v>
      </c>
      <c r="G120" s="4" t="s">
        <v>35</v>
      </c>
      <c r="H120" s="3">
        <v>28.02107593614264</v>
      </c>
      <c r="I120" s="2">
        <f>SQRT(((C120/H120)-1)^2)</f>
        <v>9.9001372326660064E-2</v>
      </c>
      <c r="J120" s="2">
        <f>(F120-E120)/C120</f>
        <v>0.47741735672331365</v>
      </c>
      <c r="K120" s="1" t="s">
        <v>1</v>
      </c>
      <c r="L120" s="1" t="s">
        <v>29</v>
      </c>
    </row>
    <row r="121" spans="1:12" x14ac:dyDescent="0.25">
      <c r="A121" s="1">
        <v>3</v>
      </c>
      <c r="B121" s="1" t="s">
        <v>7</v>
      </c>
      <c r="C121" s="3">
        <v>25.198116248519209</v>
      </c>
      <c r="D121" s="3">
        <v>3.2347009095379691</v>
      </c>
      <c r="E121" s="3">
        <v>22.101401464206528</v>
      </c>
      <c r="F121" s="3">
        <v>37.001594885092864</v>
      </c>
      <c r="G121" s="4" t="s">
        <v>34</v>
      </c>
      <c r="H121" s="3">
        <v>28.02107593614264</v>
      </c>
      <c r="I121" s="2">
        <f>SQRT(((C121/H121)-1)^2)</f>
        <v>0.10074415750689547</v>
      </c>
      <c r="J121" s="2">
        <f>(F121-E121)/C121</f>
        <v>0.59132171920835386</v>
      </c>
      <c r="K121" s="1" t="s">
        <v>1</v>
      </c>
      <c r="L121" s="1" t="s">
        <v>29</v>
      </c>
    </row>
    <row r="122" spans="1:12" x14ac:dyDescent="0.25">
      <c r="A122" s="1">
        <v>3</v>
      </c>
      <c r="B122" s="1" t="s">
        <v>7</v>
      </c>
      <c r="C122" s="3">
        <v>27.218482215610763</v>
      </c>
      <c r="D122" s="3">
        <v>3.7342660968573198</v>
      </c>
      <c r="E122" s="3">
        <v>23.479772800368668</v>
      </c>
      <c r="F122" s="3">
        <v>40.40320123998842</v>
      </c>
      <c r="G122" s="4" t="s">
        <v>33</v>
      </c>
      <c r="H122" s="3">
        <v>28.02107593614264</v>
      </c>
      <c r="I122" s="2">
        <f>SQRT(((C122/H122)-1)^2)</f>
        <v>2.8642501892536587E-2</v>
      </c>
      <c r="J122" s="2">
        <f>(F122-E122)/C122</f>
        <v>0.62176238577746878</v>
      </c>
      <c r="K122" s="1" t="s">
        <v>1</v>
      </c>
      <c r="L122" s="1" t="s">
        <v>29</v>
      </c>
    </row>
    <row r="123" spans="1:12" x14ac:dyDescent="0.25">
      <c r="A123" s="1">
        <v>3</v>
      </c>
      <c r="B123" s="1" t="s">
        <v>7</v>
      </c>
      <c r="C123" s="3">
        <v>23.834204351120682</v>
      </c>
      <c r="D123" s="3">
        <v>2.3684025750611521</v>
      </c>
      <c r="E123" s="3">
        <v>21.680690428625088</v>
      </c>
      <c r="F123" s="3">
        <v>32.800833339373568</v>
      </c>
      <c r="G123" s="4" t="s">
        <v>32</v>
      </c>
      <c r="H123" s="3">
        <v>28.02107593614264</v>
      </c>
      <c r="I123" s="2">
        <f>SQRT(((C123/H123)-1)^2)</f>
        <v>0.14941865881822092</v>
      </c>
      <c r="J123" s="2">
        <f>(F123-E123)/C123</f>
        <v>0.46656237174645238</v>
      </c>
      <c r="K123" s="1" t="s">
        <v>1</v>
      </c>
      <c r="L123" s="1" t="s">
        <v>29</v>
      </c>
    </row>
    <row r="124" spans="1:12" x14ac:dyDescent="0.25">
      <c r="A124" s="1">
        <v>3</v>
      </c>
      <c r="B124" s="1" t="s">
        <v>7</v>
      </c>
      <c r="C124" s="3">
        <v>23.734231058273178</v>
      </c>
      <c r="D124" s="3">
        <v>2.9753141557990945</v>
      </c>
      <c r="E124" s="3">
        <v>20.944954907979493</v>
      </c>
      <c r="F124" s="3">
        <v>34.756769321816833</v>
      </c>
      <c r="G124" s="4" t="s">
        <v>31</v>
      </c>
      <c r="H124" s="3">
        <v>28.02107593614264</v>
      </c>
      <c r="I124" s="2">
        <f>SQRT(((C124/H124)-1)^2)</f>
        <v>0.15298644804499206</v>
      </c>
      <c r="J124" s="2">
        <f>(F124-E124)/C124</f>
        <v>0.58193646046194014</v>
      </c>
      <c r="K124" s="1" t="s">
        <v>1</v>
      </c>
      <c r="L124" s="1" t="s">
        <v>29</v>
      </c>
    </row>
    <row r="125" spans="1:12" x14ac:dyDescent="0.25">
      <c r="A125" s="1">
        <v>3</v>
      </c>
      <c r="B125" s="1" t="s">
        <v>7</v>
      </c>
      <c r="C125" s="3">
        <v>29.241048665812489</v>
      </c>
      <c r="D125" s="3">
        <v>5.5309600222837405</v>
      </c>
      <c r="E125" s="3">
        <v>23.494037863173304</v>
      </c>
      <c r="F125" s="3">
        <v>48.230894973614348</v>
      </c>
      <c r="G125" s="4" t="s">
        <v>30</v>
      </c>
      <c r="H125" s="3">
        <v>28.02107593614264</v>
      </c>
      <c r="I125" s="2">
        <f>SQRT(((C125/H125)-1)^2)</f>
        <v>4.353768329417651E-2</v>
      </c>
      <c r="J125" s="2">
        <f>(F125-E125)/C125</f>
        <v>0.84596340552459137</v>
      </c>
      <c r="K125" s="1" t="s">
        <v>1</v>
      </c>
      <c r="L125" s="1" t="s">
        <v>29</v>
      </c>
    </row>
    <row r="126" spans="1:12" x14ac:dyDescent="0.25">
      <c r="A126" s="1">
        <v>4</v>
      </c>
      <c r="B126" s="1" t="s">
        <v>4</v>
      </c>
      <c r="C126" s="3">
        <v>32.590570808353768</v>
      </c>
      <c r="D126" s="3">
        <v>4.1258825901700371</v>
      </c>
      <c r="E126" s="3">
        <v>28.135178002645489</v>
      </c>
      <c r="F126" s="3">
        <v>46.342858312566008</v>
      </c>
      <c r="G126" s="4" t="s">
        <v>18</v>
      </c>
      <c r="H126" s="3">
        <v>32.20689052164596</v>
      </c>
      <c r="I126" s="2">
        <f>SQRT(((C126/H126)-1)^2)</f>
        <v>1.1912987577920253E-2</v>
      </c>
      <c r="J126" s="2">
        <f>(F126-E126)/C126</f>
        <v>0.55867939279091861</v>
      </c>
      <c r="K126" s="1" t="s">
        <v>1</v>
      </c>
      <c r="L126" s="1" t="s">
        <v>13</v>
      </c>
    </row>
    <row r="127" spans="1:12" x14ac:dyDescent="0.25">
      <c r="A127" s="1">
        <v>4</v>
      </c>
      <c r="B127" s="1" t="s">
        <v>4</v>
      </c>
      <c r="C127" s="3">
        <v>34.327343160374525</v>
      </c>
      <c r="D127" s="3">
        <v>5.6653613203591231</v>
      </c>
      <c r="E127" s="3">
        <v>28.109941846386548</v>
      </c>
      <c r="F127" s="3">
        <v>52.974584326221503</v>
      </c>
      <c r="G127" s="4" t="s">
        <v>17</v>
      </c>
      <c r="H127" s="3">
        <v>32.20689052164596</v>
      </c>
      <c r="I127" s="2">
        <f>SQRT(((C127/H127)-1)^2)</f>
        <v>6.5838477555087982E-2</v>
      </c>
      <c r="J127" s="2">
        <f>(F127-E127)/C127</f>
        <v>0.72433926399923787</v>
      </c>
      <c r="K127" s="1" t="s">
        <v>1</v>
      </c>
      <c r="L127" s="1" t="s">
        <v>13</v>
      </c>
    </row>
    <row r="128" spans="1:12" x14ac:dyDescent="0.25">
      <c r="A128" s="1">
        <v>4</v>
      </c>
      <c r="B128" s="1" t="s">
        <v>4</v>
      </c>
      <c r="C128" s="3">
        <v>29.563445242695444</v>
      </c>
      <c r="D128" s="3">
        <v>3.1395434637073234</v>
      </c>
      <c r="E128" s="3">
        <v>26.347118105965038</v>
      </c>
      <c r="F128" s="3">
        <v>40.458950771180682</v>
      </c>
      <c r="G128" s="4" t="s">
        <v>28</v>
      </c>
      <c r="H128" s="3">
        <v>32.20689052164596</v>
      </c>
      <c r="I128" s="2">
        <f>SQRT(((C128/H128)-1)^2)</f>
        <v>8.2077010109804949E-2</v>
      </c>
      <c r="J128" s="2">
        <f>(F128-E128)/C128</f>
        <v>0.47734059915436972</v>
      </c>
      <c r="K128" s="1" t="s">
        <v>1</v>
      </c>
      <c r="L128" s="1" t="s">
        <v>13</v>
      </c>
    </row>
    <row r="129" spans="1:12" x14ac:dyDescent="0.25">
      <c r="A129" s="1">
        <v>4</v>
      </c>
      <c r="B129" s="1" t="s">
        <v>4</v>
      </c>
      <c r="C129" s="3">
        <v>30.213936338417362</v>
      </c>
      <c r="D129" s="3">
        <v>4.0876403942621122</v>
      </c>
      <c r="E129" s="3">
        <v>25.918385401049271</v>
      </c>
      <c r="F129" s="3">
        <v>44.127866275871483</v>
      </c>
      <c r="G129" s="4" t="s">
        <v>16</v>
      </c>
      <c r="H129" s="3">
        <v>32.20689052164596</v>
      </c>
      <c r="I129" s="2">
        <f>SQRT(((C129/H129)-1)^2)</f>
        <v>6.1879745326210545E-2</v>
      </c>
      <c r="J129" s="2">
        <f>(F129-E129)/C129</f>
        <v>0.60268482301886139</v>
      </c>
      <c r="K129" s="1" t="s">
        <v>1</v>
      </c>
      <c r="L129" s="1" t="s">
        <v>13</v>
      </c>
    </row>
    <row r="130" spans="1:12" x14ac:dyDescent="0.25">
      <c r="A130" s="1">
        <v>4</v>
      </c>
      <c r="B130" s="1" t="s">
        <v>4</v>
      </c>
      <c r="C130" s="3">
        <v>29.08156147064804</v>
      </c>
      <c r="D130" s="3">
        <v>2.8870480372008727</v>
      </c>
      <c r="E130" s="3">
        <v>26.17127176702153</v>
      </c>
      <c r="F130" s="3">
        <v>39.223124391567787</v>
      </c>
      <c r="G130" s="4" t="s">
        <v>27</v>
      </c>
      <c r="H130" s="3">
        <v>32.20689052164596</v>
      </c>
      <c r="I130" s="2">
        <f>SQRT(((C130/H130)-1)^2)</f>
        <v>9.7039142878366791E-2</v>
      </c>
      <c r="J130" s="2">
        <f>(F130-E130)/C130</f>
        <v>0.4488016449089044</v>
      </c>
      <c r="K130" s="1" t="s">
        <v>1</v>
      </c>
      <c r="L130" s="1" t="s">
        <v>13</v>
      </c>
    </row>
    <row r="131" spans="1:12" x14ac:dyDescent="0.25">
      <c r="A131" s="1">
        <v>4</v>
      </c>
      <c r="B131" s="1" t="s">
        <v>4</v>
      </c>
      <c r="C131" s="3">
        <v>29.397161831313817</v>
      </c>
      <c r="D131" s="3">
        <v>3.6535788397733131</v>
      </c>
      <c r="E131" s="3">
        <v>25.619381522166947</v>
      </c>
      <c r="F131" s="3">
        <v>41.987951223755964</v>
      </c>
      <c r="G131" s="4" t="s">
        <v>26</v>
      </c>
      <c r="H131" s="3">
        <v>32.20689052164596</v>
      </c>
      <c r="I131" s="2">
        <f>SQRT(((C131/H131)-1)^2)</f>
        <v>8.7239986376323686E-2</v>
      </c>
      <c r="J131" s="2">
        <f>(F131-E131)/C131</f>
        <v>0.55680782367749659</v>
      </c>
      <c r="K131" s="1" t="s">
        <v>1</v>
      </c>
      <c r="L131" s="1" t="s">
        <v>13</v>
      </c>
    </row>
    <row r="132" spans="1:12" x14ac:dyDescent="0.25">
      <c r="A132" s="1">
        <v>4</v>
      </c>
      <c r="B132" s="1" t="s">
        <v>4</v>
      </c>
      <c r="C132" s="3">
        <v>30.152849295663255</v>
      </c>
      <c r="D132" s="3">
        <v>3.4435502131668168</v>
      </c>
      <c r="E132" s="3">
        <v>26.566107177040646</v>
      </c>
      <c r="F132" s="3">
        <v>41.954047751693672</v>
      </c>
      <c r="G132" s="4" t="s">
        <v>15</v>
      </c>
      <c r="H132" s="3">
        <v>32.20689052164596</v>
      </c>
      <c r="I132" s="2">
        <f>SQRT(((C132/H132)-1)^2)</f>
        <v>6.3776452576264742E-2</v>
      </c>
      <c r="J132" s="2">
        <f>(F132-E132)/C132</f>
        <v>0.51033122686903765</v>
      </c>
      <c r="K132" s="1" t="s">
        <v>1</v>
      </c>
      <c r="L132" s="1" t="s">
        <v>13</v>
      </c>
    </row>
    <row r="133" spans="1:12" x14ac:dyDescent="0.25">
      <c r="A133" s="1">
        <v>4</v>
      </c>
      <c r="B133" s="1" t="s">
        <v>4</v>
      </c>
      <c r="C133" s="3">
        <v>29.622623811611103</v>
      </c>
      <c r="D133" s="3">
        <v>2.6035590588112782</v>
      </c>
      <c r="E133" s="3">
        <v>27.022652483067329</v>
      </c>
      <c r="F133" s="3">
        <v>38.832710522629952</v>
      </c>
      <c r="G133" s="4" t="s">
        <v>25</v>
      </c>
      <c r="H133" s="3">
        <v>32.20689052164596</v>
      </c>
      <c r="I133" s="2">
        <f>SQRT(((C133/H133)-1)^2)</f>
        <v>8.0239559553195505E-2</v>
      </c>
      <c r="J133" s="2">
        <f>(F133-E133)/C133</f>
        <v>0.3986837261503306</v>
      </c>
      <c r="K133" s="1" t="s">
        <v>1</v>
      </c>
      <c r="L133" s="1" t="s">
        <v>13</v>
      </c>
    </row>
    <row r="134" spans="1:12" x14ac:dyDescent="0.25">
      <c r="A134" s="1">
        <v>4</v>
      </c>
      <c r="B134" s="1" t="s">
        <v>4</v>
      </c>
      <c r="C134" s="3">
        <v>29.563445225367484</v>
      </c>
      <c r="D134" s="3">
        <v>3.1395434639671649</v>
      </c>
      <c r="E134" s="3">
        <v>26.347118095563097</v>
      </c>
      <c r="F134" s="3">
        <v>40.458950773149851</v>
      </c>
      <c r="G134" s="4" t="s">
        <v>24</v>
      </c>
      <c r="H134" s="3">
        <v>32.20689052164596</v>
      </c>
      <c r="I134" s="2">
        <f>SQRT(((C134/H134)-1)^2)</f>
        <v>8.2077010647825133E-2</v>
      </c>
      <c r="J134" s="2">
        <f>(F134-E134)/C134</f>
        <v>0.47734059985261207</v>
      </c>
      <c r="K134" s="1" t="s">
        <v>1</v>
      </c>
      <c r="L134" s="1" t="s">
        <v>13</v>
      </c>
    </row>
    <row r="135" spans="1:12" x14ac:dyDescent="0.25">
      <c r="A135" s="1">
        <v>4</v>
      </c>
      <c r="B135" s="1" t="s">
        <v>4</v>
      </c>
      <c r="C135" s="3">
        <v>25.358765517896153</v>
      </c>
      <c r="D135" s="3">
        <v>2.0017664094910481</v>
      </c>
      <c r="E135" s="3">
        <v>23.556873040348567</v>
      </c>
      <c r="F135" s="3">
        <v>32.991100960702504</v>
      </c>
      <c r="G135" s="4" t="s">
        <v>23</v>
      </c>
      <c r="H135" s="3">
        <v>32.20689052164596</v>
      </c>
      <c r="I135" s="2">
        <f>SQRT(((C135/H135)-1)^2)</f>
        <v>0.21262918874913561</v>
      </c>
      <c r="J135" s="2">
        <f>(F135-E135)/C135</f>
        <v>0.37203025177609794</v>
      </c>
      <c r="K135" s="1" t="s">
        <v>1</v>
      </c>
      <c r="L135" s="1" t="s">
        <v>13</v>
      </c>
    </row>
    <row r="136" spans="1:12" x14ac:dyDescent="0.25">
      <c r="A136" s="1">
        <v>4</v>
      </c>
      <c r="B136" s="1" t="s">
        <v>4</v>
      </c>
      <c r="C136" s="3">
        <v>34.043624850378023</v>
      </c>
      <c r="D136" s="3">
        <v>6.6863469308043229</v>
      </c>
      <c r="E136" s="3">
        <v>26.69332203497661</v>
      </c>
      <c r="F136" s="3">
        <v>56.022208375246485</v>
      </c>
      <c r="G136" s="4" t="s">
        <v>14</v>
      </c>
      <c r="H136" s="3">
        <v>32.20689052164596</v>
      </c>
      <c r="I136" s="2">
        <f>SQRT(((C136/H136)-1)^2)</f>
        <v>5.7029235017196367E-2</v>
      </c>
      <c r="J136" s="2">
        <f>(F136-E136)/C136</f>
        <v>0.86150891596210866</v>
      </c>
      <c r="K136" s="1" t="s">
        <v>1</v>
      </c>
      <c r="L136" s="1" t="s">
        <v>13</v>
      </c>
    </row>
    <row r="137" spans="1:12" x14ac:dyDescent="0.25">
      <c r="A137" s="1">
        <v>4</v>
      </c>
      <c r="B137" s="1" t="s">
        <v>4</v>
      </c>
      <c r="C137" s="3">
        <v>30.204656049003169</v>
      </c>
      <c r="D137" s="3">
        <v>3.9941845741361179</v>
      </c>
      <c r="E137" s="3">
        <v>25.956618047738463</v>
      </c>
      <c r="F137" s="3">
        <v>43.675662672604318</v>
      </c>
      <c r="G137" s="4" t="s">
        <v>22</v>
      </c>
      <c r="H137" s="3">
        <v>32.20689052164596</v>
      </c>
      <c r="I137" s="2">
        <f>SQRT(((C137/H137)-1)^2)</f>
        <v>6.2167891411221698E-2</v>
      </c>
      <c r="J137" s="2">
        <f>(F137-E137)/C137</f>
        <v>0.58663288852284845</v>
      </c>
      <c r="K137" s="1" t="s">
        <v>1</v>
      </c>
      <c r="L137" s="1" t="s">
        <v>13</v>
      </c>
    </row>
    <row r="138" spans="1:12" x14ac:dyDescent="0.25">
      <c r="A138" s="1">
        <v>4</v>
      </c>
      <c r="B138" s="1" t="s">
        <v>4</v>
      </c>
      <c r="C138" s="3">
        <v>26.249102946111361</v>
      </c>
      <c r="D138" s="3">
        <v>3.6684748728482801</v>
      </c>
      <c r="E138" s="3">
        <v>22.524979584516473</v>
      </c>
      <c r="F138" s="3">
        <v>39.067836460650888</v>
      </c>
      <c r="G138" s="4" t="s">
        <v>21</v>
      </c>
      <c r="H138" s="3">
        <v>32.20689052164596</v>
      </c>
      <c r="I138" s="2">
        <f>SQRT(((C138/H138)-1)^2)</f>
        <v>0.18498487370366989</v>
      </c>
      <c r="J138" s="2">
        <f>(F138-E138)/C138</f>
        <v>0.63022560847494158</v>
      </c>
      <c r="K138" s="1" t="s">
        <v>1</v>
      </c>
      <c r="L138" s="1" t="s">
        <v>13</v>
      </c>
    </row>
    <row r="139" spans="1:12" x14ac:dyDescent="0.25">
      <c r="A139" s="1">
        <v>4</v>
      </c>
      <c r="B139" s="1" t="s">
        <v>4</v>
      </c>
      <c r="C139" s="3">
        <v>27.992117364058704</v>
      </c>
      <c r="D139" s="3">
        <v>4.024685335283479</v>
      </c>
      <c r="E139" s="3">
        <v>23.812040249198187</v>
      </c>
      <c r="F139" s="3">
        <v>41.814940932212579</v>
      </c>
      <c r="G139" s="4" t="s">
        <v>20</v>
      </c>
      <c r="H139" s="3">
        <v>32.20689052164596</v>
      </c>
      <c r="I139" s="2">
        <f>SQRT(((C139/H139)-1)^2)</f>
        <v>0.13086557222140227</v>
      </c>
      <c r="J139" s="2">
        <f>(F139-E139)/C139</f>
        <v>0.64314179770229685</v>
      </c>
      <c r="K139" s="1" t="s">
        <v>1</v>
      </c>
      <c r="L139" s="1" t="s">
        <v>13</v>
      </c>
    </row>
    <row r="140" spans="1:12" x14ac:dyDescent="0.25">
      <c r="A140" s="1">
        <v>4</v>
      </c>
      <c r="B140" s="1" t="s">
        <v>4</v>
      </c>
      <c r="C140" s="3">
        <v>27.786609537591165</v>
      </c>
      <c r="D140" s="3">
        <v>3.2997031312489766</v>
      </c>
      <c r="E140" s="3">
        <v>24.410123368504536</v>
      </c>
      <c r="F140" s="3">
        <v>39.247961970630243</v>
      </c>
      <c r="G140" s="4" t="s">
        <v>19</v>
      </c>
      <c r="H140" s="3">
        <v>32.20689052164596</v>
      </c>
      <c r="I140" s="2">
        <f>SQRT(((C140/H140)-1)^2)</f>
        <v>0.13724643740705</v>
      </c>
      <c r="J140" s="2">
        <f>(F140-E140)/C140</f>
        <v>0.53399241033895517</v>
      </c>
      <c r="K140" s="1" t="s">
        <v>1</v>
      </c>
      <c r="L140" s="1" t="s">
        <v>13</v>
      </c>
    </row>
    <row r="141" spans="1:12" x14ac:dyDescent="0.25">
      <c r="A141" s="1">
        <v>4</v>
      </c>
      <c r="B141" s="1" t="s">
        <v>3</v>
      </c>
      <c r="C141" s="3">
        <v>16.257388594163174</v>
      </c>
      <c r="D141" s="3">
        <v>1.4288712710858935</v>
      </c>
      <c r="E141" s="3">
        <v>15.211044051767496</v>
      </c>
      <c r="F141" s="3">
        <v>22.491450545469224</v>
      </c>
      <c r="G141" s="4" t="s">
        <v>18</v>
      </c>
      <c r="H141" s="3">
        <v>17.851960094630378</v>
      </c>
      <c r="I141" s="2">
        <f>SQRT(((C141/H141)-1)^2)</f>
        <v>8.9321928349303747E-2</v>
      </c>
      <c r="J141" s="2">
        <f>(F141-E141)/C141</f>
        <v>0.44782139834656981</v>
      </c>
      <c r="K141" s="1" t="s">
        <v>1</v>
      </c>
      <c r="L141" s="1" t="s">
        <v>13</v>
      </c>
    </row>
    <row r="142" spans="1:12" x14ac:dyDescent="0.25">
      <c r="A142" s="1">
        <v>4</v>
      </c>
      <c r="B142" s="1" t="s">
        <v>3</v>
      </c>
      <c r="C142" s="3">
        <v>16.267453392466862</v>
      </c>
      <c r="D142" s="3">
        <v>2.1986393908266861</v>
      </c>
      <c r="E142" s="3">
        <v>14.459768437679191</v>
      </c>
      <c r="F142" s="3">
        <v>25.182465923415378</v>
      </c>
      <c r="G142" s="4" t="s">
        <v>17</v>
      </c>
      <c r="H142" s="3">
        <v>17.851960094630378</v>
      </c>
      <c r="I142" s="2">
        <f>SQRT(((C142/H142)-1)^2)</f>
        <v>8.8758136012196953E-2</v>
      </c>
      <c r="J142" s="2">
        <f>(F142-E142)/C142</f>
        <v>0.65915034314477627</v>
      </c>
      <c r="K142" s="1" t="s">
        <v>1</v>
      </c>
      <c r="L142" s="1" t="s">
        <v>13</v>
      </c>
    </row>
    <row r="143" spans="1:12" x14ac:dyDescent="0.25">
      <c r="A143" s="1">
        <v>4</v>
      </c>
      <c r="B143" s="1" t="s">
        <v>3</v>
      </c>
      <c r="C143" s="3">
        <v>14.904602925497182</v>
      </c>
      <c r="D143" s="3">
        <v>2.0171577261919662</v>
      </c>
      <c r="E143" s="3">
        <v>13.34797110907312</v>
      </c>
      <c r="F143" s="3">
        <v>23.424751392363909</v>
      </c>
      <c r="G143" s="4" t="s">
        <v>28</v>
      </c>
      <c r="H143" s="3">
        <v>17.851960094630378</v>
      </c>
      <c r="I143" s="2">
        <f>SQRT(((C143/H143)-1)^2)</f>
        <v>0.16509991919709255</v>
      </c>
      <c r="J143" s="2">
        <f>(F143-E143)/C143</f>
        <v>0.67608512173461022</v>
      </c>
      <c r="K143" s="1" t="s">
        <v>1</v>
      </c>
      <c r="L143" s="1" t="s">
        <v>13</v>
      </c>
    </row>
    <row r="144" spans="1:12" x14ac:dyDescent="0.25">
      <c r="A144" s="1">
        <v>4</v>
      </c>
      <c r="B144" s="1" t="s">
        <v>3</v>
      </c>
      <c r="C144" s="3">
        <v>17.742882947343563</v>
      </c>
      <c r="D144" s="3">
        <v>1.747163282510301</v>
      </c>
      <c r="E144" s="3">
        <v>16.339882695350287</v>
      </c>
      <c r="F144" s="3">
        <v>24.937321639780372</v>
      </c>
      <c r="G144" s="4" t="s">
        <v>16</v>
      </c>
      <c r="H144" s="3">
        <v>17.851960094630378</v>
      </c>
      <c r="I144" s="2">
        <f>SQRT(((C144/H144)-1)^2)</f>
        <v>6.1100936092515212E-3</v>
      </c>
      <c r="J144" s="2">
        <f>(F144-E144)/C144</f>
        <v>0.48455704577126119</v>
      </c>
      <c r="K144" s="1" t="s">
        <v>1</v>
      </c>
      <c r="L144" s="1" t="s">
        <v>13</v>
      </c>
    </row>
    <row r="145" spans="1:12" x14ac:dyDescent="0.25">
      <c r="A145" s="1">
        <v>4</v>
      </c>
      <c r="B145" s="1" t="s">
        <v>3</v>
      </c>
      <c r="C145" s="3">
        <v>16.431665263814807</v>
      </c>
      <c r="D145" s="3">
        <v>1.5652291709871449</v>
      </c>
      <c r="E145" s="3">
        <v>15.251785286304777</v>
      </c>
      <c r="F145" s="3">
        <v>23.140529010630409</v>
      </c>
      <c r="G145" s="4" t="s">
        <v>27</v>
      </c>
      <c r="H145" s="3">
        <v>17.851960094630378</v>
      </c>
      <c r="I145" s="2">
        <f>SQRT(((C145/H145)-1)^2)</f>
        <v>7.9559601482796061E-2</v>
      </c>
      <c r="J145" s="2">
        <f>(F145-E145)/C145</f>
        <v>0.48009398911611995</v>
      </c>
      <c r="K145" s="1" t="s">
        <v>1</v>
      </c>
      <c r="L145" s="1" t="s">
        <v>13</v>
      </c>
    </row>
    <row r="146" spans="1:12" x14ac:dyDescent="0.25">
      <c r="A146" s="1">
        <v>4</v>
      </c>
      <c r="B146" s="1" t="s">
        <v>3</v>
      </c>
      <c r="C146" s="3">
        <v>16.694927291234684</v>
      </c>
      <c r="D146" s="3">
        <v>2.5208680707296152</v>
      </c>
      <c r="E146" s="3">
        <v>14.569720603901686</v>
      </c>
      <c r="F146" s="3">
        <v>26.747710114929937</v>
      </c>
      <c r="G146" s="4" t="s">
        <v>26</v>
      </c>
      <c r="H146" s="3">
        <v>17.851960094630378</v>
      </c>
      <c r="I146" s="2">
        <f>SQRT(((C146/H146)-1)^2)</f>
        <v>6.4812647869614826E-2</v>
      </c>
      <c r="J146" s="2">
        <f>(F146-E146)/C146</f>
        <v>0.72944250062245219</v>
      </c>
      <c r="K146" s="1" t="s">
        <v>1</v>
      </c>
      <c r="L146" s="1" t="s">
        <v>13</v>
      </c>
    </row>
    <row r="147" spans="1:12" x14ac:dyDescent="0.25">
      <c r="A147" s="1">
        <v>4</v>
      </c>
      <c r="B147" s="1" t="s">
        <v>3</v>
      </c>
      <c r="C147" s="3">
        <v>17.994894662418826</v>
      </c>
      <c r="D147" s="3">
        <v>1.9265498729749957</v>
      </c>
      <c r="E147" s="3">
        <v>16.406412819883251</v>
      </c>
      <c r="F147" s="3">
        <v>25.79202554508575</v>
      </c>
      <c r="G147" s="4" t="s">
        <v>15</v>
      </c>
      <c r="H147" s="3">
        <v>17.851960094630378</v>
      </c>
      <c r="I147" s="2">
        <f>SQRT(((C147/H147)-1)^2)</f>
        <v>8.0066596066075135E-3</v>
      </c>
      <c r="J147" s="2">
        <f>(F147-E147)/C147</f>
        <v>0.52157086225148874</v>
      </c>
      <c r="K147" s="1" t="s">
        <v>1</v>
      </c>
      <c r="L147" s="1" t="s">
        <v>13</v>
      </c>
    </row>
    <row r="148" spans="1:12" x14ac:dyDescent="0.25">
      <c r="A148" s="1">
        <v>4</v>
      </c>
      <c r="B148" s="1" t="s">
        <v>3</v>
      </c>
      <c r="C148" s="3">
        <v>16.657907101414899</v>
      </c>
      <c r="D148" s="3">
        <v>1.7390636818858756</v>
      </c>
      <c r="E148" s="3">
        <v>15.306398974972533</v>
      </c>
      <c r="F148" s="3">
        <v>23.970839269838805</v>
      </c>
      <c r="G148" s="4" t="s">
        <v>25</v>
      </c>
      <c r="H148" s="3">
        <v>17.851960094630378</v>
      </c>
      <c r="I148" s="2">
        <f>SQRT(((C148/H148)-1)^2)</f>
        <v>6.6886380368653908E-2</v>
      </c>
      <c r="J148" s="2">
        <f>(F148-E148)/C148</f>
        <v>0.52013978959759755</v>
      </c>
      <c r="K148" s="1" t="s">
        <v>1</v>
      </c>
      <c r="L148" s="1" t="s">
        <v>13</v>
      </c>
    </row>
    <row r="149" spans="1:12" x14ac:dyDescent="0.25">
      <c r="A149" s="1">
        <v>4</v>
      </c>
      <c r="B149" s="1" t="s">
        <v>3</v>
      </c>
      <c r="C149" s="3">
        <v>17.295187281411248</v>
      </c>
      <c r="D149" s="3">
        <v>2.9701790566023725</v>
      </c>
      <c r="E149" s="3">
        <v>14.72686740070095</v>
      </c>
      <c r="F149" s="3">
        <v>28.938431974117076</v>
      </c>
      <c r="G149" s="4" t="s">
        <v>24</v>
      </c>
      <c r="H149" s="3">
        <v>17.851960094630378</v>
      </c>
      <c r="I149" s="2">
        <f>SQRT(((C149/H149)-1)^2)</f>
        <v>3.1188329475741905E-2</v>
      </c>
      <c r="J149" s="2">
        <f>(F149-E149)/C149</f>
        <v>0.82170631298630814</v>
      </c>
      <c r="K149" s="1" t="s">
        <v>1</v>
      </c>
      <c r="L149" s="1" t="s">
        <v>13</v>
      </c>
    </row>
    <row r="150" spans="1:12" x14ac:dyDescent="0.25">
      <c r="A150" s="1">
        <v>4</v>
      </c>
      <c r="B150" s="1" t="s">
        <v>3</v>
      </c>
      <c r="C150" s="3">
        <v>18.274981346896983</v>
      </c>
      <c r="D150" s="3">
        <v>2.126051400470069</v>
      </c>
      <c r="E150" s="3">
        <v>16.481462363369747</v>
      </c>
      <c r="F150" s="3">
        <v>26.749625562641491</v>
      </c>
      <c r="G150" s="4" t="s">
        <v>23</v>
      </c>
      <c r="H150" s="3">
        <v>17.851960094630378</v>
      </c>
      <c r="I150" s="2">
        <f>SQRT(((C150/H150)-1)^2)</f>
        <v>2.3696067548002464E-2</v>
      </c>
      <c r="J150" s="2">
        <f>(F150-E150)/C150</f>
        <v>0.56186996880383877</v>
      </c>
      <c r="K150" s="1" t="s">
        <v>1</v>
      </c>
      <c r="L150" s="1" t="s">
        <v>13</v>
      </c>
    </row>
    <row r="151" spans="1:12" x14ac:dyDescent="0.25">
      <c r="A151" s="1">
        <v>4</v>
      </c>
      <c r="B151" s="1" t="s">
        <v>3</v>
      </c>
      <c r="C151" s="3">
        <v>12.669333347177806</v>
      </c>
      <c r="D151" s="3">
        <v>1.0101202159530578</v>
      </c>
      <c r="E151" s="3">
        <v>12.07910645990588</v>
      </c>
      <c r="F151" s="3">
        <v>17.663344437069796</v>
      </c>
      <c r="G151" s="4" t="s">
        <v>14</v>
      </c>
      <c r="H151" s="3">
        <v>17.851960094630378</v>
      </c>
      <c r="I151" s="2">
        <f>SQRT(((C151/H151)-1)^2)</f>
        <v>0.29031135628694538</v>
      </c>
      <c r="J151" s="2">
        <f>(F151-E151)/C151</f>
        <v>0.44076809916820514</v>
      </c>
      <c r="K151" s="1" t="s">
        <v>1</v>
      </c>
      <c r="L151" s="1" t="s">
        <v>13</v>
      </c>
    </row>
    <row r="152" spans="1:12" x14ac:dyDescent="0.25">
      <c r="A152" s="1">
        <v>4</v>
      </c>
      <c r="B152" s="1" t="s">
        <v>3</v>
      </c>
      <c r="C152" s="3">
        <v>11.364466043363088</v>
      </c>
      <c r="D152" s="3">
        <v>0.73276890394962235</v>
      </c>
      <c r="E152" s="3">
        <v>11.030126926715234</v>
      </c>
      <c r="F152" s="3">
        <v>15.409195070587145</v>
      </c>
      <c r="G152" s="4" t="s">
        <v>22</v>
      </c>
      <c r="H152" s="3">
        <v>17.851960094630378</v>
      </c>
      <c r="I152" s="2">
        <f>SQRT(((C152/H152)-1)^2)</f>
        <v>0.36340513965290788</v>
      </c>
      <c r="J152" s="2">
        <f>(F152-E152)/C152</f>
        <v>0.38532986302768818</v>
      </c>
      <c r="K152" s="1" t="s">
        <v>1</v>
      </c>
      <c r="L152" s="1" t="s">
        <v>13</v>
      </c>
    </row>
    <row r="153" spans="1:12" x14ac:dyDescent="0.25">
      <c r="A153" s="1">
        <v>4</v>
      </c>
      <c r="B153" s="1" t="s">
        <v>3</v>
      </c>
      <c r="C153" s="3">
        <v>10.088215329668639</v>
      </c>
      <c r="D153" s="3">
        <v>1.3895372361918883</v>
      </c>
      <c r="E153" s="3">
        <v>9.1583403157279459</v>
      </c>
      <c r="F153" s="3">
        <v>16.478907682364937</v>
      </c>
      <c r="G153" s="4" t="s">
        <v>21</v>
      </c>
      <c r="H153" s="3">
        <v>17.851960094630378</v>
      </c>
      <c r="I153" s="2">
        <f>SQRT(((C153/H153)-1)^2)</f>
        <v>0.43489592872756677</v>
      </c>
      <c r="J153" s="2">
        <f>(F153-E153)/C153</f>
        <v>0.72565534412293764</v>
      </c>
      <c r="K153" s="1" t="s">
        <v>1</v>
      </c>
      <c r="L153" s="1" t="s">
        <v>13</v>
      </c>
    </row>
    <row r="154" spans="1:12" x14ac:dyDescent="0.25">
      <c r="A154" s="1">
        <v>4</v>
      </c>
      <c r="B154" s="1" t="s">
        <v>3</v>
      </c>
      <c r="C154" s="3">
        <v>12.793608453611041</v>
      </c>
      <c r="D154" s="3">
        <v>1.1338252128379824</v>
      </c>
      <c r="E154" s="3">
        <v>12.100435593891886</v>
      </c>
      <c r="F154" s="3">
        <v>18.270828430813857</v>
      </c>
      <c r="G154" s="4" t="s">
        <v>20</v>
      </c>
      <c r="H154" s="3">
        <v>17.851960094630378</v>
      </c>
      <c r="I154" s="2">
        <f>SQRT(((C154/H154)-1)^2)</f>
        <v>0.2833499298791744</v>
      </c>
      <c r="J154" s="2">
        <f>(F154-E154)/C154</f>
        <v>0.48230277323989512</v>
      </c>
      <c r="K154" s="1" t="s">
        <v>1</v>
      </c>
      <c r="L154" s="1" t="s">
        <v>13</v>
      </c>
    </row>
    <row r="155" spans="1:12" x14ac:dyDescent="0.25">
      <c r="A155" s="1">
        <v>4</v>
      </c>
      <c r="B155" s="1" t="s">
        <v>3</v>
      </c>
      <c r="C155" s="3">
        <v>11.364466068400485</v>
      </c>
      <c r="D155" s="3">
        <v>0.73276895358081517</v>
      </c>
      <c r="E155" s="3">
        <v>11.030126928820753</v>
      </c>
      <c r="F155" s="3">
        <v>15.40919536822506</v>
      </c>
      <c r="G155" s="4" t="s">
        <v>19</v>
      </c>
      <c r="H155" s="3">
        <v>17.851960094630378</v>
      </c>
      <c r="I155" s="2">
        <f>SQRT(((C155/H155)-1)^2)</f>
        <v>0.36340513825040655</v>
      </c>
      <c r="J155" s="2">
        <f>(F155-E155)/C155</f>
        <v>0.38532988818370839</v>
      </c>
      <c r="K155" s="1" t="s">
        <v>1</v>
      </c>
      <c r="L155" s="1" t="s">
        <v>13</v>
      </c>
    </row>
    <row r="156" spans="1:12" x14ac:dyDescent="0.25">
      <c r="A156" s="1">
        <v>4</v>
      </c>
      <c r="B156" s="1" t="s">
        <v>7</v>
      </c>
      <c r="C156" s="3">
        <v>29.130923769311714</v>
      </c>
      <c r="D156" s="3">
        <v>2.3581802486603749</v>
      </c>
      <c r="E156" s="3">
        <v>26.841531529938742</v>
      </c>
      <c r="F156" s="3">
        <v>37.6486231359087</v>
      </c>
      <c r="G156" s="4" t="s">
        <v>18</v>
      </c>
      <c r="H156" s="3">
        <v>28.02107593614264</v>
      </c>
      <c r="I156" s="2">
        <f>SQRT(((C156/H156)-1)^2)</f>
        <v>3.9607609490025064E-2</v>
      </c>
      <c r="J156" s="2">
        <f>(F156-E156)/C156</f>
        <v>0.37098348447689139</v>
      </c>
      <c r="K156" s="1" t="s">
        <v>1</v>
      </c>
      <c r="L156" s="1" t="s">
        <v>13</v>
      </c>
    </row>
    <row r="157" spans="1:12" x14ac:dyDescent="0.25">
      <c r="A157" s="1">
        <v>4</v>
      </c>
      <c r="B157" s="1" t="s">
        <v>7</v>
      </c>
      <c r="C157" s="3">
        <v>27.032529150358592</v>
      </c>
      <c r="D157" s="3">
        <v>1.7735890368081528</v>
      </c>
      <c r="E157" s="3">
        <v>25.465123357019881</v>
      </c>
      <c r="F157" s="3">
        <v>33.88189054518034</v>
      </c>
      <c r="G157" s="4" t="s">
        <v>17</v>
      </c>
      <c r="H157" s="3">
        <v>28.02107593614264</v>
      </c>
      <c r="I157" s="2">
        <f>SQRT(((C157/H157)-1)^2)</f>
        <v>3.5278687657706365E-2</v>
      </c>
      <c r="J157" s="2">
        <f>(F157-E157)/C157</f>
        <v>0.31135700035114211</v>
      </c>
      <c r="K157" s="1" t="s">
        <v>1</v>
      </c>
      <c r="L157" s="1" t="s">
        <v>13</v>
      </c>
    </row>
    <row r="158" spans="1:12" x14ac:dyDescent="0.25">
      <c r="A158" s="1">
        <v>4</v>
      </c>
      <c r="B158" s="1" t="s">
        <v>7</v>
      </c>
      <c r="C158" s="3">
        <v>26.265616648457907</v>
      </c>
      <c r="D158" s="3">
        <v>1.9277979592280363</v>
      </c>
      <c r="E158" s="3">
        <v>24.533310124128068</v>
      </c>
      <c r="F158" s="3">
        <v>33.624829092006898</v>
      </c>
      <c r="G158" s="4" t="s">
        <v>16</v>
      </c>
      <c r="H158" s="3">
        <v>28.02107593614264</v>
      </c>
      <c r="I158" s="2">
        <f>SQRT(((C158/H158)-1)^2)</f>
        <v>6.2647818794869137E-2</v>
      </c>
      <c r="J158" s="2">
        <f>(F158-E158)/C158</f>
        <v>0.34613765553502079</v>
      </c>
      <c r="K158" s="1" t="s">
        <v>1</v>
      </c>
      <c r="L158" s="1" t="s">
        <v>13</v>
      </c>
    </row>
    <row r="159" spans="1:12" x14ac:dyDescent="0.25">
      <c r="A159" s="1">
        <v>4</v>
      </c>
      <c r="B159" s="1" t="s">
        <v>7</v>
      </c>
      <c r="C159" s="3">
        <v>26.917092234603405</v>
      </c>
      <c r="D159" s="3">
        <v>2.2861330825229897</v>
      </c>
      <c r="E159" s="3">
        <v>24.751496177364093</v>
      </c>
      <c r="F159" s="3">
        <v>35.323313892334994</v>
      </c>
      <c r="G159" s="4" t="s">
        <v>15</v>
      </c>
      <c r="H159" s="3">
        <v>28.02107593614264</v>
      </c>
      <c r="I159" s="2">
        <f>SQRT(((C159/H159)-1)^2)</f>
        <v>3.9398333741898717E-2</v>
      </c>
      <c r="J159" s="2">
        <f>(F159-E159)/C159</f>
        <v>0.39275481997941247</v>
      </c>
      <c r="K159" s="1" t="s">
        <v>1</v>
      </c>
      <c r="L159" s="1" t="s">
        <v>13</v>
      </c>
    </row>
    <row r="160" spans="1:12" x14ac:dyDescent="0.25">
      <c r="A160" s="1">
        <v>4</v>
      </c>
      <c r="B160" s="1" t="s">
        <v>7</v>
      </c>
      <c r="C160" s="3">
        <v>25.568449052548917</v>
      </c>
      <c r="D160" s="3">
        <v>2.106421042849516</v>
      </c>
      <c r="E160" s="3">
        <v>23.629767932319119</v>
      </c>
      <c r="F160" s="3">
        <v>33.475176961212114</v>
      </c>
      <c r="G160" s="4" t="s">
        <v>14</v>
      </c>
      <c r="H160" s="3">
        <v>28.02107593614264</v>
      </c>
      <c r="I160" s="2">
        <f>SQRT(((C160/H160)-1)^2)</f>
        <v>8.7527933944543279E-2</v>
      </c>
      <c r="J160" s="2">
        <f>(F160-E160)/C160</f>
        <v>0.38506086187153798</v>
      </c>
      <c r="K160" s="1" t="s">
        <v>1</v>
      </c>
      <c r="L160" s="1" t="s">
        <v>13</v>
      </c>
    </row>
    <row r="161" spans="1:12" x14ac:dyDescent="0.25">
      <c r="A161" s="1">
        <v>5</v>
      </c>
      <c r="B161" s="1" t="s">
        <v>4</v>
      </c>
      <c r="C161" s="3">
        <v>32.133927807369496</v>
      </c>
      <c r="D161" s="3">
        <v>3.2991934616768641</v>
      </c>
      <c r="E161" s="3">
        <v>28.621703757879406</v>
      </c>
      <c r="F161" s="3">
        <v>43.252792535763326</v>
      </c>
      <c r="G161" s="4" t="s">
        <v>6</v>
      </c>
      <c r="H161" s="3">
        <v>32.20689052164596</v>
      </c>
      <c r="I161" s="2">
        <f>SQRT(((C161/H161)-1)^2)</f>
        <v>2.2654380194644386E-3</v>
      </c>
      <c r="J161" s="2">
        <f>(F161-E161)/C161</f>
        <v>0.4553159161118322</v>
      </c>
      <c r="K161" s="1" t="s">
        <v>1</v>
      </c>
      <c r="L161" s="1" t="s">
        <v>5</v>
      </c>
    </row>
    <row r="162" spans="1:12" x14ac:dyDescent="0.25">
      <c r="A162" s="1">
        <v>5</v>
      </c>
      <c r="B162" s="1" t="s">
        <v>4</v>
      </c>
      <c r="C162" s="3">
        <v>31.809814970517078</v>
      </c>
      <c r="D162" s="3">
        <v>2.6206391815370145</v>
      </c>
      <c r="E162" s="3">
        <v>29.124832430572656</v>
      </c>
      <c r="F162" s="3">
        <v>40.903868803095023</v>
      </c>
      <c r="G162" s="4" t="s">
        <v>12</v>
      </c>
      <c r="H162" s="3">
        <v>32.20689052164596</v>
      </c>
      <c r="I162" s="2">
        <f>SQRT(((C162/H162)-1)^2)</f>
        <v>1.2328900576788371E-2</v>
      </c>
      <c r="J162" s="2">
        <f>(F162-E162)/C162</f>
        <v>0.37029565822497756</v>
      </c>
      <c r="K162" s="1" t="s">
        <v>1</v>
      </c>
      <c r="L162" s="1" t="s">
        <v>5</v>
      </c>
    </row>
    <row r="163" spans="1:12" x14ac:dyDescent="0.25">
      <c r="A163" s="1">
        <v>5</v>
      </c>
      <c r="B163" s="1" t="s">
        <v>4</v>
      </c>
      <c r="C163" s="3">
        <v>31.638365406624949</v>
      </c>
      <c r="D163" s="3">
        <v>3.0602816445001499</v>
      </c>
      <c r="E163" s="3">
        <v>28.427772200768825</v>
      </c>
      <c r="F163" s="3">
        <v>42.068533785564661</v>
      </c>
      <c r="G163" s="4" t="s">
        <v>11</v>
      </c>
      <c r="H163" s="3">
        <v>32.20689052164596</v>
      </c>
      <c r="I163" s="2">
        <f>SQRT(((C163/H163)-1)^2)</f>
        <v>1.7652282036942024E-2</v>
      </c>
      <c r="J163" s="2">
        <f>(F163-E163)/C163</f>
        <v>0.43114621787443907</v>
      </c>
      <c r="K163" s="1" t="s">
        <v>1</v>
      </c>
      <c r="L163" s="1" t="s">
        <v>5</v>
      </c>
    </row>
    <row r="164" spans="1:12" x14ac:dyDescent="0.25">
      <c r="A164" s="1">
        <v>5</v>
      </c>
      <c r="B164" s="1" t="s">
        <v>4</v>
      </c>
      <c r="C164" s="3">
        <v>29.362200005678073</v>
      </c>
      <c r="D164" s="3">
        <v>2.4517301888314429</v>
      </c>
      <c r="E164" s="3">
        <v>26.934936908577278</v>
      </c>
      <c r="F164" s="3">
        <v>38.091071359439525</v>
      </c>
      <c r="G164" s="4" t="s">
        <v>10</v>
      </c>
      <c r="H164" s="3">
        <v>32.20689052164596</v>
      </c>
      <c r="I164" s="2">
        <f>SQRT(((C164/H164)-1)^2)</f>
        <v>8.8325525062905252E-2</v>
      </c>
      <c r="J164" s="2">
        <f>(F164-E164)/C164</f>
        <v>0.37994886107665193</v>
      </c>
      <c r="K164" s="1" t="s">
        <v>1</v>
      </c>
      <c r="L164" s="1" t="s">
        <v>5</v>
      </c>
    </row>
    <row r="165" spans="1:12" x14ac:dyDescent="0.25">
      <c r="A165" s="1">
        <v>5</v>
      </c>
      <c r="B165" s="1" t="s">
        <v>4</v>
      </c>
      <c r="C165" s="3">
        <v>30.067302552620312</v>
      </c>
      <c r="D165" s="3">
        <v>2.2732645853176159</v>
      </c>
      <c r="E165" s="3">
        <v>27.838583454930955</v>
      </c>
      <c r="F165" s="3">
        <v>38.219330519805823</v>
      </c>
      <c r="G165" s="4" t="s">
        <v>9</v>
      </c>
      <c r="H165" s="3">
        <v>32.20689052164596</v>
      </c>
      <c r="I165" s="2">
        <f>SQRT(((C165/H165)-1)^2)</f>
        <v>6.6432615330798583E-2</v>
      </c>
      <c r="J165" s="2">
        <f>(F165-E165)/C165</f>
        <v>0.34525036114256297</v>
      </c>
      <c r="K165" s="1" t="s">
        <v>1</v>
      </c>
      <c r="L165" s="1" t="s">
        <v>5</v>
      </c>
    </row>
    <row r="166" spans="1:12" x14ac:dyDescent="0.25">
      <c r="A166" s="1">
        <v>5</v>
      </c>
      <c r="B166" s="1" t="s">
        <v>4</v>
      </c>
      <c r="C166" s="3">
        <v>29.7147600495563</v>
      </c>
      <c r="D166" s="3">
        <v>3.1346547436590955</v>
      </c>
      <c r="E166" s="3">
        <v>26.440290473521948</v>
      </c>
      <c r="F166" s="3">
        <v>40.433666148284345</v>
      </c>
      <c r="G166" s="4" t="s">
        <v>8</v>
      </c>
      <c r="H166" s="3">
        <v>32.20689052164596</v>
      </c>
      <c r="I166" s="2">
        <f>SQRT(((C166/H166)-1)^2)</f>
        <v>7.7378797882233341E-2</v>
      </c>
      <c r="J166" s="2">
        <f>(F166-E166)/C166</f>
        <v>0.47092339468416289</v>
      </c>
      <c r="K166" s="1" t="s">
        <v>1</v>
      </c>
      <c r="L166" s="1" t="s">
        <v>5</v>
      </c>
    </row>
    <row r="167" spans="1:12" x14ac:dyDescent="0.25">
      <c r="A167" s="1">
        <v>5</v>
      </c>
      <c r="B167" s="1" t="s">
        <v>3</v>
      </c>
      <c r="C167" s="3">
        <v>17.145804610353096</v>
      </c>
      <c r="D167" s="3">
        <v>1.3069695849421681</v>
      </c>
      <c r="E167" s="3">
        <v>16.191440797608298</v>
      </c>
      <c r="F167" s="3">
        <v>22.857828746580058</v>
      </c>
      <c r="G167" s="4" t="s">
        <v>6</v>
      </c>
      <c r="H167" s="3">
        <v>17.851960094630378</v>
      </c>
      <c r="I167" s="2">
        <f>SQRT(((C167/H167)-1)^2)</f>
        <v>3.9556187697825096E-2</v>
      </c>
      <c r="J167" s="2">
        <f>(F167-E167)/C167</f>
        <v>0.38880578079995248</v>
      </c>
      <c r="K167" s="1" t="s">
        <v>1</v>
      </c>
      <c r="L167" s="1" t="s">
        <v>5</v>
      </c>
    </row>
    <row r="168" spans="1:12" x14ac:dyDescent="0.25">
      <c r="A168" s="1">
        <v>5</v>
      </c>
      <c r="B168" s="1" t="s">
        <v>3</v>
      </c>
      <c r="C168" s="3">
        <v>15.916450874717729</v>
      </c>
      <c r="D168" s="3">
        <v>1.153551773277784</v>
      </c>
      <c r="E168" s="3">
        <v>15.135728832849557</v>
      </c>
      <c r="F168" s="3">
        <v>21.187942444784962</v>
      </c>
      <c r="G168" s="4" t="s">
        <v>12</v>
      </c>
      <c r="H168" s="3">
        <v>17.851960094630378</v>
      </c>
      <c r="I168" s="2">
        <f>SQRT(((C168/H168)-1)^2)</f>
        <v>0.10841998355658566</v>
      </c>
      <c r="J168" s="2">
        <f>(F168-E168)/C168</f>
        <v>0.38024894240392265</v>
      </c>
      <c r="K168" s="1" t="s">
        <v>1</v>
      </c>
      <c r="L168" s="1" t="s">
        <v>5</v>
      </c>
    </row>
    <row r="169" spans="1:12" x14ac:dyDescent="0.25">
      <c r="A169" s="1">
        <v>5</v>
      </c>
      <c r="B169" s="1" t="s">
        <v>3</v>
      </c>
      <c r="C169" s="3">
        <v>15.517667241100687</v>
      </c>
      <c r="D169" s="3">
        <v>1.6252661893256679</v>
      </c>
      <c r="E169" s="3">
        <v>14.273626384279897</v>
      </c>
      <c r="F169" s="3">
        <v>22.417733036862685</v>
      </c>
      <c r="G169" s="4" t="s">
        <v>11</v>
      </c>
      <c r="H169" s="3">
        <v>17.851960094630378</v>
      </c>
      <c r="I169" s="2">
        <f>SQRT(((C169/H169)-1)^2)</f>
        <v>0.13075835040835737</v>
      </c>
      <c r="J169" s="2">
        <f>(F169-E169)/C169</f>
        <v>0.52482802511784732</v>
      </c>
      <c r="K169" s="1" t="s">
        <v>1</v>
      </c>
      <c r="L169" s="1" t="s">
        <v>5</v>
      </c>
    </row>
    <row r="170" spans="1:12" x14ac:dyDescent="0.25">
      <c r="A170" s="1">
        <v>5</v>
      </c>
      <c r="B170" s="1" t="s">
        <v>3</v>
      </c>
      <c r="C170" s="3">
        <v>17.280012629422483</v>
      </c>
      <c r="D170" s="3">
        <v>1.4070494655506078</v>
      </c>
      <c r="E170" s="3">
        <v>16.223646871690978</v>
      </c>
      <c r="F170" s="3">
        <v>23.325979205937458</v>
      </c>
      <c r="G170" s="4" t="s">
        <v>10</v>
      </c>
      <c r="H170" s="3">
        <v>17.851960094630378</v>
      </c>
      <c r="I170" s="2">
        <f>SQRT(((C170/H170)-1)^2)</f>
        <v>3.2038356694508274E-2</v>
      </c>
      <c r="J170" s="2">
        <f>(F170-E170)/C170</f>
        <v>0.41101430227854224</v>
      </c>
      <c r="K170" s="1" t="s">
        <v>1</v>
      </c>
      <c r="L170" s="1" t="s">
        <v>5</v>
      </c>
    </row>
    <row r="171" spans="1:12" x14ac:dyDescent="0.25">
      <c r="A171" s="1">
        <v>5</v>
      </c>
      <c r="B171" s="1" t="s">
        <v>3</v>
      </c>
      <c r="C171" s="3">
        <v>17.447424628490936</v>
      </c>
      <c r="D171" s="3">
        <v>1.529125026096553</v>
      </c>
      <c r="E171" s="3">
        <v>16.265237324310412</v>
      </c>
      <c r="F171" s="3">
        <v>23.898730167818488</v>
      </c>
      <c r="G171" s="4" t="s">
        <v>9</v>
      </c>
      <c r="H171" s="3">
        <v>17.851960094630378</v>
      </c>
      <c r="I171" s="2">
        <f>SQRT(((C171/H171)-1)^2)</f>
        <v>2.2660562985524546E-2</v>
      </c>
      <c r="J171" s="2">
        <f>(F171-E171)/C171</f>
        <v>0.43751401745807761</v>
      </c>
      <c r="K171" s="1" t="s">
        <v>1</v>
      </c>
      <c r="L171" s="1" t="s">
        <v>5</v>
      </c>
    </row>
    <row r="172" spans="1:12" x14ac:dyDescent="0.25">
      <c r="A172" s="1">
        <v>5</v>
      </c>
      <c r="B172" s="1" t="s">
        <v>3</v>
      </c>
      <c r="C172" s="3">
        <v>12.452641294309345</v>
      </c>
      <c r="D172" s="3">
        <v>0.78319076776225716</v>
      </c>
      <c r="E172" s="3">
        <v>12.045090069037233</v>
      </c>
      <c r="F172" s="3">
        <v>16.543886174688598</v>
      </c>
      <c r="G172" s="4" t="s">
        <v>8</v>
      </c>
      <c r="H172" s="3">
        <v>17.851960094630378</v>
      </c>
      <c r="I172" s="2">
        <f>SQRT(((C172/H172)-1)^2)</f>
        <v>0.30244963419703552</v>
      </c>
      <c r="J172" s="2">
        <f>(F172-E172)/C172</f>
        <v>0.36127244006516451</v>
      </c>
      <c r="K172" s="1" t="s">
        <v>1</v>
      </c>
      <c r="L172" s="1" t="s">
        <v>5</v>
      </c>
    </row>
    <row r="173" spans="1:12" x14ac:dyDescent="0.25">
      <c r="A173" s="1">
        <v>5</v>
      </c>
      <c r="B173" s="1" t="s">
        <v>7</v>
      </c>
      <c r="C173" s="3">
        <v>27.584818222843236</v>
      </c>
      <c r="D173" s="3">
        <v>1.489339377041051</v>
      </c>
      <c r="E173" s="3">
        <v>26.333251749014444</v>
      </c>
      <c r="F173" s="3">
        <v>33.536791050261343</v>
      </c>
      <c r="G173" s="4" t="s">
        <v>6</v>
      </c>
      <c r="H173" s="3">
        <v>28.02107593614264</v>
      </c>
      <c r="I173" s="2">
        <f>SQRT(((C173/H173)-1)^2)</f>
        <v>1.5568913709580356E-2</v>
      </c>
      <c r="J173" s="2">
        <f>(F173-E173)/C173</f>
        <v>0.26114144537960315</v>
      </c>
      <c r="K173" s="1" t="s">
        <v>1</v>
      </c>
      <c r="L173" s="1" t="s">
        <v>5</v>
      </c>
    </row>
    <row r="174" spans="1:12" x14ac:dyDescent="0.25">
      <c r="A174" s="1">
        <v>6</v>
      </c>
      <c r="B174" s="1" t="s">
        <v>4</v>
      </c>
      <c r="C174" s="3">
        <v>32.270140986779992</v>
      </c>
      <c r="D174" s="3">
        <v>2.3221136392550492</v>
      </c>
      <c r="E174" s="3">
        <v>29.934679050627913</v>
      </c>
      <c r="F174" s="3">
        <v>40.441170170909849</v>
      </c>
      <c r="G174" s="4" t="s">
        <v>2</v>
      </c>
      <c r="H174" s="3">
        <v>32.20689052164596</v>
      </c>
      <c r="I174" s="2">
        <f>SQRT(((C174/H174)-1)^2)</f>
        <v>1.9638799061190149E-3</v>
      </c>
      <c r="J174" s="2">
        <f>(F174-E174)/C174</f>
        <v>0.32557933740004724</v>
      </c>
      <c r="K174" s="1" t="s">
        <v>1</v>
      </c>
      <c r="L174" s="1" t="s">
        <v>0</v>
      </c>
    </row>
    <row r="175" spans="1:12" x14ac:dyDescent="0.25">
      <c r="A175" s="1">
        <v>6</v>
      </c>
      <c r="B175" s="1" t="s">
        <v>3</v>
      </c>
      <c r="C175" s="3">
        <v>16.868282345817594</v>
      </c>
      <c r="D175" s="3">
        <v>1.0920090447478357</v>
      </c>
      <c r="E175" s="3">
        <v>16.128727417097831</v>
      </c>
      <c r="F175" s="3">
        <v>21.856671787996312</v>
      </c>
      <c r="G175" s="4" t="s">
        <v>2</v>
      </c>
      <c r="H175" s="3">
        <v>17.851960094630378</v>
      </c>
      <c r="I175" s="2">
        <f>SQRT(((C175/H175)-1)^2)</f>
        <v>5.510194643044608E-2</v>
      </c>
      <c r="J175" s="2">
        <f>(F175-E175)/C175</f>
        <v>0.33956891718253079</v>
      </c>
      <c r="K175" s="1" t="s">
        <v>1</v>
      </c>
      <c r="L175" s="1" t="s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Hochschule für Forstwirtschaft Rottenburg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Hinneberg.Heiko</dc:creator>
  <cp:lastModifiedBy>Hinneberg.Heiko</cp:lastModifiedBy>
  <dcterms:created xsi:type="dcterms:W3CDTF">2022-07-06T08:57:54Z</dcterms:created>
  <dcterms:modified xsi:type="dcterms:W3CDTF">2022-07-06T09:01:49Z</dcterms:modified>
</cp:coreProperties>
</file>